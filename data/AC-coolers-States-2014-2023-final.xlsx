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C+coolers" sheetId="1" state="visible" r:id="rId3"/>
    <sheet name="pct AC 2014" sheetId="2" state="visible" r:id="rId4"/>
    <sheet name="Note" sheetId="3" state="visible" r:id="rId5"/>
    <sheet name="vérif+2014" sheetId="4" state="visible" r:id="rId6"/>
  </sheets>
  <definedNames>
    <definedName function="false" hidden="true" localSheetId="3" name="_xlnm._FilterDatabase" vbProcedure="false">'vérif+2014'!$D$2:$H$34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<sst xmlns="http://schemas.openxmlformats.org/spreadsheetml/2006/main" count="365" uniqueCount="141">
  <si>
    <t xml:space="preserve">States</t>
  </si>
  <si>
    <t xml:space="preserve">Andhra Pradesh</t>
  </si>
  <si>
    <t xml:space="preserve">Arunachal Pradesh</t>
  </si>
  <si>
    <t xml:space="preserve">Assam</t>
  </si>
  <si>
    <t xml:space="preserve">Bihar</t>
  </si>
  <si>
    <t xml:space="preserve">Chandigarh</t>
  </si>
  <si>
    <t xml:space="preserve">Chhattisgarh</t>
  </si>
  <si>
    <t xml:space="preserve">Delhi</t>
  </si>
  <si>
    <t xml:space="preserve">Goa</t>
  </si>
  <si>
    <t xml:space="preserve">Gujarat</t>
  </si>
  <si>
    <t xml:space="preserve">Himachal Pradesh</t>
  </si>
  <si>
    <t xml:space="preserve">Haryana</t>
  </si>
  <si>
    <t xml:space="preserve">Jharkhand</t>
  </si>
  <si>
    <t xml:space="preserve">Jammu &amp; Kashmir</t>
  </si>
  <si>
    <t xml:space="preserve">Karnataka</t>
  </si>
  <si>
    <t xml:space="preserve">Kerala</t>
  </si>
  <si>
    <t xml:space="preserve">Maharashtra</t>
  </si>
  <si>
    <t xml:space="preserve">Meghalaya</t>
  </si>
  <si>
    <t xml:space="preserve">Manipur</t>
  </si>
  <si>
    <t xml:space="preserve">Madhya Pradesh</t>
  </si>
  <si>
    <t xml:space="preserve">Mizoram</t>
  </si>
  <si>
    <t xml:space="preserve">Nagaland</t>
  </si>
  <si>
    <t xml:space="preserve">Odisha</t>
  </si>
  <si>
    <t xml:space="preserve">Punjab</t>
  </si>
  <si>
    <t xml:space="preserve">Puducherry</t>
  </si>
  <si>
    <t xml:space="preserve">Rajasthan</t>
  </si>
  <si>
    <t xml:space="preserve">Sikkim</t>
  </si>
  <si>
    <t xml:space="preserve">Telangana</t>
  </si>
  <si>
    <t xml:space="preserve">Tamil Nadu</t>
  </si>
  <si>
    <t xml:space="preserve">Tripura</t>
  </si>
  <si>
    <t xml:space="preserve">Uttar Pradesh</t>
  </si>
  <si>
    <t xml:space="preserve">Uttarakhand</t>
  </si>
  <si>
    <t xml:space="preserve">West Bengal</t>
  </si>
  <si>
    <t xml:space="preserve">Air coolers</t>
  </si>
  <si>
    <t xml:space="preserve">Air conditionner</t>
  </si>
  <si>
    <t xml:space="preserve">TOTAL (cooler + AC)</t>
  </si>
  <si>
    <t xml:space="preserve">ratio AC for Total in 2014</t>
  </si>
  <si>
    <t xml:space="preserve">01</t>
  </si>
  <si>
    <t xml:space="preserve">02</t>
  </si>
  <si>
    <t xml:space="preserve">03</t>
  </si>
  <si>
    <t xml:space="preserve">04</t>
  </si>
  <si>
    <t xml:space="preserve">05</t>
  </si>
  <si>
    <t xml:space="preserve">06</t>
  </si>
  <si>
    <t xml:space="preserve">07</t>
  </si>
  <si>
    <t xml:space="preserve">08</t>
  </si>
  <si>
    <t xml:space="preserve">09</t>
  </si>
  <si>
    <t xml:space="preserve">10</t>
  </si>
  <si>
    <t xml:space="preserve">11</t>
  </si>
  <si>
    <t xml:space="preserve">12</t>
  </si>
  <si>
    <t xml:space="preserve">13</t>
  </si>
  <si>
    <t xml:space="preserve">14</t>
  </si>
  <si>
    <t xml:space="preserve">15</t>
  </si>
  <si>
    <t xml:space="preserve">16</t>
  </si>
  <si>
    <t xml:space="preserve">17</t>
  </si>
  <si>
    <t xml:space="preserve">19</t>
  </si>
  <si>
    <t xml:space="preserve">20</t>
  </si>
  <si>
    <t xml:space="preserve">21</t>
  </si>
  <si>
    <t xml:space="preserve">22</t>
  </si>
  <si>
    <t xml:space="preserve">23</t>
  </si>
  <si>
    <t xml:space="preserve">24</t>
  </si>
  <si>
    <t xml:space="preserve">25</t>
  </si>
  <si>
    <t xml:space="preserve">Dadra and Nagar Haveli</t>
  </si>
  <si>
    <t xml:space="preserve">26</t>
  </si>
  <si>
    <t xml:space="preserve">27</t>
  </si>
  <si>
    <t xml:space="preserve">28</t>
  </si>
  <si>
    <t xml:space="preserve">29</t>
  </si>
  <si>
    <t xml:space="preserve">30</t>
  </si>
  <si>
    <t xml:space="preserve">Lakshadweep</t>
  </si>
  <si>
    <t xml:space="preserve">31</t>
  </si>
  <si>
    <t xml:space="preserve">32</t>
  </si>
  <si>
    <t xml:space="preserve">33</t>
  </si>
  <si>
    <t xml:space="preserve">34</t>
  </si>
  <si>
    <t xml:space="preserve">Andaman and Nicobar</t>
  </si>
  <si>
    <t xml:space="preserve">35</t>
  </si>
  <si>
    <t xml:space="preserve">36</t>
  </si>
  <si>
    <t xml:space="preserve">Ladakh</t>
  </si>
  <si>
    <t xml:space="preserve">Total général</t>
  </si>
  <si>
    <t xml:space="preserve">Sources:</t>
  </si>
  <si>
    <t xml:space="preserve">Données AC + coolers! (pas juste AC) - et pas de fan</t>
  </si>
  <si>
    <t xml:space="preserve">les données proviennent d'énquete de consommation faites par le gouvernement indien (site : https://microdata.gov.in/NADA/index.php/home); dans la partie Household consumption expenditure (HCES), la doc est sur le site + d'une année sur l'autre, les questionnaires changent</t>
  </si>
  <si>
    <t xml:space="preserve">2010-2011</t>
  </si>
  <si>
    <t xml:space="preserve">données ne mathcent pas celles des années suivantes</t>
  </si>
  <si>
    <t xml:space="preserve">HCES2014</t>
  </si>
  <si>
    <t xml:space="preserve">HCES2022</t>
  </si>
  <si>
    <t xml:space="preserve">HCES2023</t>
  </si>
  <si>
    <t xml:space="preserve">Commentaires</t>
  </si>
  <si>
    <t xml:space="preserve">1) Vérification des données de 2023 grace à la Table 22 (qui donne % de ménage avec AC + coolers installés )  - utilisation du nombre de ménage par state calculé dans HCES 2023 (via pondération)</t>
  </si>
  <si>
    <t xml:space="preserve">les données de l'enquete de consommation sont très proches de celle de la Table 22 - meme ordres de grandeurs)</t>
  </si>
  <si>
    <t xml:space="preserve">hyp d'apres Table 22 (% x nb hh)</t>
  </si>
  <si>
    <t xml:space="preserve">données conso HCES</t>
  </si>
  <si>
    <t xml:space="preserve">2) pour l'année 2014, j'ai les données d'AC et de air cooler séparées (que j'ai sommées pour continuité avec les autres enquêtes, mais peut permettre de retrouver le pourcentage d'AC "seul"  en faisant hypothèses sur raztio AC/coolers)</t>
  </si>
  <si>
    <t xml:space="preserve">voir onglet pct AC 2014</t>
  </si>
  <si>
    <t xml:space="preserve">3) Données Inde: </t>
  </si>
  <si>
    <t xml:space="preserve">India</t>
  </si>
  <si>
    <t xml:space="preserve">4) IMPORTANT, je n'ai les données que pour 2014, 2022 et 2023 --&gt; donc régression  pour avoir les données manquantes</t>
  </si>
  <si>
    <t xml:space="preserve">f(X) = alpha + beta exp(X)  avec X l'année --&gt; testé sur seulement trois années (2014, 2022 et 2023) donc données extrapolées à prendre avec des pincettes (à utiliser?)</t>
  </si>
  <si>
    <t xml:space="preserve">5) les problèmes</t>
  </si>
  <si>
    <t xml:space="preserve">Problème ASSAM : pas de données en 2014, regardé AC 2014/AC 2022 pour états du NE, pris 18% de données de 2022 (ou je supprime juste la ligne?) </t>
  </si>
  <si>
    <t xml:space="preserve">Problème Delhi: données 2014 supérieures à 2022</t>
  </si>
  <si>
    <t xml:space="preserve">Problème AP et JK : données AC 2022 supérieures à 2023 </t>
  </si>
  <si>
    <t xml:space="preserve">st</t>
  </si>
  <si>
    <t xml:space="preserve">st_name</t>
  </si>
  <si>
    <t xml:space="preserve">Total</t>
  </si>
  <si>
    <t xml:space="preserve">Vérif Evolution</t>
  </si>
  <si>
    <t xml:space="preserve">ANP</t>
  </si>
  <si>
    <t xml:space="preserve">ARN</t>
  </si>
  <si>
    <t xml:space="preserve">BHR</t>
  </si>
  <si>
    <t xml:space="preserve">Chandigarh(U.T.)</t>
  </si>
  <si>
    <t xml:space="preserve">CHN</t>
  </si>
  <si>
    <t xml:space="preserve">Chattisgarh</t>
  </si>
  <si>
    <t xml:space="preserve">CHG</t>
  </si>
  <si>
    <t xml:space="preserve">DEL</t>
  </si>
  <si>
    <t xml:space="preserve">GOA</t>
  </si>
  <si>
    <t xml:space="preserve">GUJ</t>
  </si>
  <si>
    <t xml:space="preserve">HIM</t>
  </si>
  <si>
    <t xml:space="preserve">HAR</t>
  </si>
  <si>
    <t xml:space="preserve">JHR</t>
  </si>
  <si>
    <t xml:space="preserve">JAK</t>
  </si>
  <si>
    <t xml:space="preserve">KTK</t>
  </si>
  <si>
    <t xml:space="preserve">KRL</t>
  </si>
  <si>
    <t xml:space="preserve">MAH</t>
  </si>
  <si>
    <t xml:space="preserve">MEG</t>
  </si>
  <si>
    <t xml:space="preserve">MAN</t>
  </si>
  <si>
    <t xml:space="preserve">MAP</t>
  </si>
  <si>
    <t xml:space="preserve">MIZ</t>
  </si>
  <si>
    <t xml:space="preserve">NAG</t>
  </si>
  <si>
    <t xml:space="preserve">ORI</t>
  </si>
  <si>
    <t xml:space="preserve">PUN</t>
  </si>
  <si>
    <t xml:space="preserve">Puducherry (U.T.)</t>
  </si>
  <si>
    <t xml:space="preserve">PON</t>
  </si>
  <si>
    <t xml:space="preserve">RAJ</t>
  </si>
  <si>
    <t xml:space="preserve">SKM</t>
  </si>
  <si>
    <t xml:space="preserve">TLN</t>
  </si>
  <si>
    <t xml:space="preserve">Tamilnadu</t>
  </si>
  <si>
    <t xml:space="preserve">TMN</t>
  </si>
  <si>
    <t xml:space="preserve">TRI</t>
  </si>
  <si>
    <t xml:space="preserve">Uttar Prdesh</t>
  </si>
  <si>
    <t xml:space="preserve">UTP</t>
  </si>
  <si>
    <t xml:space="preserve">Uttrakhand</t>
  </si>
  <si>
    <t xml:space="preserve">UTA</t>
  </si>
  <si>
    <t xml:space="preserve">WEB</t>
  </si>
</sst>
</file>

<file path=xl/styles.xml><?xml version="1.0" encoding="utf-8"?>
<styleSheet xmlns="http://schemas.openxmlformats.org/spreadsheetml/2006/main">
  <numFmts count="5">
    <numFmt numFmtId="164" formatCode="General"/>
    <numFmt numFmtId="165" formatCode="_-* #,##0.00_-;\-* #,##0.00_-;_-* \-??_-;_-@_-"/>
    <numFmt numFmtId="166" formatCode="_-* #,##0_-;\-* #,##0_-;_-* \-??_-;_-@_-"/>
    <numFmt numFmtId="167" formatCode="0%"/>
    <numFmt numFmtId="168" formatCode="0.0%"/>
  </numFmts>
  <fonts count="6">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1"/>
      <name val="Calibri"/>
      <family val="2"/>
      <charset val="1"/>
    </font>
  </fonts>
  <fills count="5">
    <fill>
      <patternFill patternType="none"/>
    </fill>
    <fill>
      <patternFill patternType="gray125"/>
    </fill>
    <fill>
      <patternFill patternType="solid">
        <fgColor theme="3" tint="0.8999"/>
        <bgColor rgb="FFCCFFFF"/>
      </patternFill>
    </fill>
    <fill>
      <patternFill patternType="solid">
        <fgColor rgb="FFFFFF00"/>
        <bgColor rgb="FFFFFF00"/>
      </patternFill>
    </fill>
    <fill>
      <patternFill patternType="solid">
        <fgColor theme="6" tint="0.7999"/>
        <bgColor rgb="FFDCEA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top"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15" applyFont="true" applyBorder="true" applyAlignment="true" applyProtection="true">
      <alignment horizontal="general" vertical="bottom" textRotation="0" wrapText="false" indent="0" shrinkToFit="false"/>
      <protection locked="true" hidden="false"/>
    </xf>
    <xf numFmtId="166" fontId="4" fillId="3"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DCEAF7"/>
          <bgColor rgb="FF000000"/>
        </patternFill>
      </fill>
    </dxf>
    <dxf>
      <fill>
        <patternFill patternType="solid">
          <fgColor rgb="FFFFFF00"/>
          <bgColor rgb="FF000000"/>
        </patternFill>
      </fill>
    </dxf>
    <dxf>
      <fill>
        <patternFill patternType="solid">
          <fgColor rgb="FFC2F1C8"/>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7" activeCellId="0" sqref="T7"/>
    </sheetView>
  </sheetViews>
  <sheetFormatPr defaultColWidth="10.59765625" defaultRowHeight="14.25" zeroHeight="false" outlineLevelRow="0" outlineLevelCol="0"/>
  <cols>
    <col collapsed="false" customWidth="true" hidden="false" outlineLevel="0" max="12" min="2" style="0" width="12.36"/>
    <col collapsed="false" customWidth="true" hidden="false" outlineLevel="0" max="14" min="13" style="0" width="13.36"/>
  </cols>
  <sheetData>
    <row r="1" customFormat="false" ht="14.25" hidden="false" customHeight="false" outlineLevel="0" collapsed="false">
      <c r="A1" s="1" t="s">
        <v>0</v>
      </c>
      <c r="B1" s="1" t="n">
        <v>2011</v>
      </c>
      <c r="C1" s="1" t="n">
        <v>2012</v>
      </c>
      <c r="D1" s="1" t="n">
        <v>2013</v>
      </c>
      <c r="E1" s="2" t="n">
        <v>2014</v>
      </c>
      <c r="F1" s="1" t="n">
        <v>2015</v>
      </c>
      <c r="G1" s="1" t="n">
        <v>2016</v>
      </c>
      <c r="H1" s="1" t="n">
        <v>2017</v>
      </c>
      <c r="I1" s="1" t="n">
        <v>2018</v>
      </c>
      <c r="J1" s="1" t="n">
        <v>2019</v>
      </c>
      <c r="K1" s="1" t="n">
        <v>2020</v>
      </c>
      <c r="L1" s="1" t="n">
        <v>2021</v>
      </c>
      <c r="M1" s="3" t="n">
        <v>2022</v>
      </c>
      <c r="N1" s="3" t="n">
        <v>2023</v>
      </c>
    </row>
    <row r="2" customFormat="false" ht="14.25" hidden="false" customHeight="false" outlineLevel="0" collapsed="false">
      <c r="A2" s="0" t="s">
        <v>1</v>
      </c>
      <c r="B2" s="4" t="n">
        <v>87307.0078726532</v>
      </c>
      <c r="C2" s="4" t="n">
        <v>117308.545144897</v>
      </c>
      <c r="D2" s="4" t="n">
        <v>157619.589759446</v>
      </c>
      <c r="E2" s="5" t="n">
        <v>211861.25</v>
      </c>
      <c r="F2" s="4" t="n">
        <v>284558.315320732</v>
      </c>
      <c r="G2" s="4" t="n">
        <v>382341.839361256</v>
      </c>
      <c r="H2" s="4" t="n">
        <v>513726.973542769</v>
      </c>
      <c r="I2" s="4" t="n">
        <v>690260.327737903</v>
      </c>
      <c r="J2" s="4" t="n">
        <v>927456.303808759</v>
      </c>
      <c r="K2" s="4" t="n">
        <v>1246160.55842807</v>
      </c>
      <c r="L2" s="4" t="n">
        <v>1674381.9962239</v>
      </c>
      <c r="M2" s="6" t="n">
        <v>2242270.22</v>
      </c>
      <c r="N2" s="6" t="n">
        <v>3031810</v>
      </c>
    </row>
    <row r="3" customFormat="false" ht="14.25" hidden="false" customHeight="false" outlineLevel="0" collapsed="false">
      <c r="A3" s="0" t="s">
        <v>2</v>
      </c>
      <c r="B3" s="4" t="n">
        <v>1655.41711166122</v>
      </c>
      <c r="C3" s="4" t="n">
        <v>1794.46772596211</v>
      </c>
      <c r="D3" s="4" t="n">
        <v>1945.19822033755</v>
      </c>
      <c r="E3" s="5" t="n">
        <v>2066.12</v>
      </c>
      <c r="F3" s="4" t="n">
        <v>2285.70557217892</v>
      </c>
      <c r="G3" s="4" t="n">
        <v>2477.69873310711</v>
      </c>
      <c r="H3" s="4" t="n">
        <v>2685.81880657034</v>
      </c>
      <c r="I3" s="4" t="n">
        <v>2911.4204101322</v>
      </c>
      <c r="J3" s="4" t="n">
        <v>3155.97194561255</v>
      </c>
      <c r="K3" s="4" t="n">
        <v>3421.06515666039</v>
      </c>
      <c r="L3" s="4" t="n">
        <v>3708.42548913867</v>
      </c>
      <c r="M3" s="6" t="n">
        <v>4827.77</v>
      </c>
      <c r="N3" s="6" t="n">
        <v>3703</v>
      </c>
    </row>
    <row r="4" customFormat="false" ht="14.25" hidden="false" customHeight="false" outlineLevel="0" collapsed="false">
      <c r="A4" s="0" t="s">
        <v>3</v>
      </c>
      <c r="B4" s="4" t="n">
        <v>5942.73907306003</v>
      </c>
      <c r="C4" s="4" t="n">
        <v>7334.9339349338</v>
      </c>
      <c r="D4" s="4" t="n">
        <v>9053.27579898948</v>
      </c>
      <c r="E4" s="7" t="n">
        <v>11139.615</v>
      </c>
      <c r="F4" s="4" t="n">
        <v>13791.9235027704</v>
      </c>
      <c r="G4" s="4" t="n">
        <v>17022.9327730506</v>
      </c>
      <c r="H4" s="4" t="n">
        <v>21010.864810668</v>
      </c>
      <c r="I4" s="4" t="n">
        <v>25933.0425595683</v>
      </c>
      <c r="J4" s="4" t="n">
        <v>32008.330092863</v>
      </c>
      <c r="K4" s="4" t="n">
        <v>39506.8643789221</v>
      </c>
      <c r="L4" s="4" t="n">
        <v>48762.0668909109</v>
      </c>
      <c r="M4" s="6" t="n">
        <v>61886.75</v>
      </c>
      <c r="N4" s="6" t="n">
        <v>72467</v>
      </c>
    </row>
    <row r="5" customFormat="false" ht="14.25" hidden="false" customHeight="false" outlineLevel="0" collapsed="false">
      <c r="A5" s="0" t="s">
        <v>4</v>
      </c>
      <c r="B5" s="4" t="n">
        <v>33241.7055224518</v>
      </c>
      <c r="C5" s="4" t="n">
        <v>42739.4122016118</v>
      </c>
      <c r="D5" s="4" t="n">
        <v>54950.7712263903</v>
      </c>
      <c r="E5" s="5" t="n">
        <v>71588.08</v>
      </c>
      <c r="F5" s="4" t="n">
        <v>90837.3144794107</v>
      </c>
      <c r="G5" s="4" t="n">
        <v>116791.042030043</v>
      </c>
      <c r="H5" s="4" t="n">
        <v>150160.180060749</v>
      </c>
      <c r="I5" s="4" t="n">
        <v>193063.434352067</v>
      </c>
      <c r="J5" s="4" t="n">
        <v>248224.860070995</v>
      </c>
      <c r="K5" s="4" t="n">
        <v>319146.820132205</v>
      </c>
      <c r="L5" s="4" t="n">
        <v>410332.360632077</v>
      </c>
      <c r="M5" s="6" t="n">
        <v>468582.36</v>
      </c>
      <c r="N5" s="6" t="n">
        <v>753702</v>
      </c>
    </row>
    <row r="6" customFormat="false" ht="14.25" hidden="false" customHeight="false" outlineLevel="0" collapsed="false">
      <c r="A6" s="4" t="s">
        <v>5</v>
      </c>
      <c r="B6" s="4" t="n">
        <v>7055.3777387482</v>
      </c>
      <c r="C6" s="4" t="n">
        <v>9483.04275484434</v>
      </c>
      <c r="D6" s="4" t="n">
        <v>12746.0361755431</v>
      </c>
      <c r="E6" s="5" t="n">
        <v>17034.95</v>
      </c>
      <c r="F6" s="4" t="n">
        <v>23026.6109348095</v>
      </c>
      <c r="G6" s="4" t="n">
        <v>30949.7725110758</v>
      </c>
      <c r="H6" s="4" t="n">
        <v>41599.192395234</v>
      </c>
      <c r="I6" s="4" t="n">
        <v>55912.9411150475</v>
      </c>
      <c r="J6" s="4" t="n">
        <v>75151.8672389558</v>
      </c>
      <c r="K6" s="4" t="n">
        <v>101010.661161262</v>
      </c>
      <c r="L6" s="4" t="n">
        <v>135767.134511696</v>
      </c>
      <c r="M6" s="6" t="n">
        <v>192033.76</v>
      </c>
      <c r="N6" s="6" t="n">
        <v>234399</v>
      </c>
    </row>
    <row r="7" customFormat="false" ht="14.25" hidden="false" customHeight="false" outlineLevel="0" collapsed="false">
      <c r="A7" s="4" t="s">
        <v>6</v>
      </c>
      <c r="B7" s="4" t="n">
        <v>180082.982006636</v>
      </c>
      <c r="C7" s="4" t="n">
        <v>232782.202185496</v>
      </c>
      <c r="D7" s="4" t="n">
        <v>300903.244995867</v>
      </c>
      <c r="E7" s="5" t="n">
        <v>387364.67</v>
      </c>
      <c r="F7" s="4" t="n">
        <v>502783.560335013</v>
      </c>
      <c r="G7" s="4" t="n">
        <v>649917.405261178</v>
      </c>
      <c r="H7" s="4" t="n">
        <v>840108.283134745</v>
      </c>
      <c r="I7" s="4" t="n">
        <v>1085956.3410338</v>
      </c>
      <c r="J7" s="4" t="n">
        <v>1403749.01462835</v>
      </c>
      <c r="K7" s="4" t="n">
        <v>1814540.07091501</v>
      </c>
      <c r="L7" s="4" t="n">
        <v>2345544.42043755</v>
      </c>
      <c r="M7" s="6" t="n">
        <v>3146128.24</v>
      </c>
      <c r="N7" s="6" t="n">
        <v>3792505</v>
      </c>
    </row>
    <row r="8" customFormat="false" ht="14.25" hidden="false" customHeight="false" outlineLevel="0" collapsed="false">
      <c r="A8" s="0" t="s">
        <v>7</v>
      </c>
      <c r="B8" s="4" t="n">
        <v>2620349.27659964</v>
      </c>
      <c r="C8" s="4" t="n">
        <v>2653863.63876812</v>
      </c>
      <c r="D8" s="4" t="n">
        <v>2687806.65084279</v>
      </c>
      <c r="E8" s="5" t="n">
        <v>2759405.15</v>
      </c>
      <c r="F8" s="4" t="n">
        <v>2757000.62462265</v>
      </c>
      <c r="G8" s="4" t="n">
        <v>2792262.76248248</v>
      </c>
      <c r="H8" s="4" t="n">
        <v>2827975.90436288</v>
      </c>
      <c r="I8" s="4" t="n">
        <v>2864145.81862163</v>
      </c>
      <c r="J8" s="4" t="n">
        <v>2900778.34739398</v>
      </c>
      <c r="K8" s="4" t="n">
        <v>2937879.40753631</v>
      </c>
      <c r="L8" s="4" t="n">
        <v>2975454.99158185</v>
      </c>
      <c r="M8" s="6" t="n">
        <v>2666800.76</v>
      </c>
      <c r="N8" s="6" t="n">
        <v>3402330</v>
      </c>
    </row>
    <row r="9" customFormat="false" ht="14.25" hidden="false" customHeight="false" outlineLevel="0" collapsed="false">
      <c r="A9" s="0" t="s">
        <v>8</v>
      </c>
      <c r="B9" s="4" t="n">
        <v>652.058894346204</v>
      </c>
      <c r="C9" s="4" t="n">
        <v>1021.87305016006</v>
      </c>
      <c r="D9" s="4" t="n">
        <v>1601.42671114152</v>
      </c>
      <c r="E9" s="5" t="n">
        <v>2461.92</v>
      </c>
      <c r="F9" s="4" t="n">
        <v>3933.03048757419</v>
      </c>
      <c r="G9" s="4" t="n">
        <v>6163.64241874078</v>
      </c>
      <c r="H9" s="4" t="n">
        <v>9659.34232804199</v>
      </c>
      <c r="I9" s="4" t="n">
        <v>15137.6228326635</v>
      </c>
      <c r="J9" s="4" t="n">
        <v>23722.9013365369</v>
      </c>
      <c r="K9" s="4" t="n">
        <v>37177.3067703024</v>
      </c>
      <c r="L9" s="4" t="n">
        <v>58262.3566605847</v>
      </c>
      <c r="M9" s="6" t="n">
        <v>108539.41</v>
      </c>
      <c r="N9" s="6" t="n">
        <v>122705</v>
      </c>
    </row>
    <row r="10" customFormat="false" ht="14.25" hidden="false" customHeight="false" outlineLevel="0" collapsed="false">
      <c r="A10" s="0" t="s">
        <v>9</v>
      </c>
      <c r="B10" s="4" t="n">
        <v>94753.1757201476</v>
      </c>
      <c r="C10" s="4" t="n">
        <v>127324.248298703</v>
      </c>
      <c r="D10" s="4" t="n">
        <v>171091.513098286</v>
      </c>
      <c r="E10" s="5" t="n">
        <v>229560.18</v>
      </c>
      <c r="F10" s="4" t="n">
        <v>308932.187568218</v>
      </c>
      <c r="G10" s="4" t="n">
        <v>415126.545980547</v>
      </c>
      <c r="H10" s="4" t="n">
        <v>557824.843485126</v>
      </c>
      <c r="I10" s="4" t="n">
        <v>749575.181404447</v>
      </c>
      <c r="J10" s="4" t="n">
        <v>1007239.0269805</v>
      </c>
      <c r="K10" s="4" t="n">
        <v>1353473.9178155</v>
      </c>
      <c r="L10" s="4" t="n">
        <v>1818725.84077513</v>
      </c>
      <c r="M10" s="6" t="n">
        <v>2477010.77</v>
      </c>
      <c r="N10" s="6" t="n">
        <v>3244949</v>
      </c>
    </row>
    <row r="11" customFormat="false" ht="14.25" hidden="false" customHeight="false" outlineLevel="0" collapsed="false">
      <c r="A11" s="0" t="s">
        <v>10</v>
      </c>
      <c r="B11" s="4" t="n">
        <v>2716.01459281267</v>
      </c>
      <c r="C11" s="4" t="n">
        <v>3840.92938476215</v>
      </c>
      <c r="D11" s="4" t="n">
        <v>5431.75967381308</v>
      </c>
      <c r="E11" s="5" t="n">
        <v>7640.66</v>
      </c>
      <c r="F11" s="4" t="n">
        <v>10862.9803507455</v>
      </c>
      <c r="G11" s="4" t="n">
        <v>15362.1930256506</v>
      </c>
      <c r="H11" s="4" t="n">
        <v>21724.882761217</v>
      </c>
      <c r="I11" s="4" t="n">
        <v>30722.8616513612</v>
      </c>
      <c r="J11" s="4" t="n">
        <v>43447.6097488459</v>
      </c>
      <c r="K11" s="4" t="n">
        <v>61442.6746541093</v>
      </c>
      <c r="L11" s="4" t="n">
        <v>86890.9081644344</v>
      </c>
      <c r="M11" s="6" t="n">
        <v>128915.05</v>
      </c>
      <c r="N11" s="6" t="n">
        <v>166522</v>
      </c>
    </row>
    <row r="12" customFormat="false" ht="14.25" hidden="false" customHeight="false" outlineLevel="0" collapsed="false">
      <c r="A12" s="0" t="s">
        <v>11</v>
      </c>
      <c r="B12" s="4" t="n">
        <v>1662362.87380552</v>
      </c>
      <c r="C12" s="4" t="n">
        <v>1794571.53187634</v>
      </c>
      <c r="D12" s="4" t="n">
        <v>1937294.81918022</v>
      </c>
      <c r="E12" s="5" t="n">
        <v>2117093.3</v>
      </c>
      <c r="F12" s="4" t="n">
        <v>2257696.72528285</v>
      </c>
      <c r="G12" s="4" t="n">
        <v>2437252.62073979</v>
      </c>
      <c r="H12" s="4" t="n">
        <v>2631088.69795555</v>
      </c>
      <c r="I12" s="4" t="n">
        <v>2840340.66784927</v>
      </c>
      <c r="J12" s="4" t="n">
        <v>3066234.5650708</v>
      </c>
      <c r="K12" s="4" t="n">
        <v>3310093.93149803</v>
      </c>
      <c r="L12" s="4" t="n">
        <v>3573347.57104177</v>
      </c>
      <c r="M12" s="6" t="n">
        <v>3455621.48</v>
      </c>
      <c r="N12" s="6" t="n">
        <v>4592190</v>
      </c>
    </row>
    <row r="13" customFormat="false" ht="14.25" hidden="false" customHeight="false" outlineLevel="0" collapsed="false">
      <c r="A13" s="0" t="s">
        <v>12</v>
      </c>
      <c r="B13" s="4" t="n">
        <v>51848.6639609275</v>
      </c>
      <c r="C13" s="4" t="n">
        <v>63024.2260654957</v>
      </c>
      <c r="D13" s="4" t="n">
        <v>76608.5906118578</v>
      </c>
      <c r="E13" s="5" t="n">
        <v>95151.38</v>
      </c>
      <c r="F13" s="4" t="n">
        <v>113192.427869661</v>
      </c>
      <c r="G13" s="4" t="n">
        <v>137590.144431413</v>
      </c>
      <c r="H13" s="4" t="n">
        <v>167246.592382088</v>
      </c>
      <c r="I13" s="4" t="n">
        <v>203295.248936709</v>
      </c>
      <c r="J13" s="4" t="n">
        <v>247113.903198812</v>
      </c>
      <c r="K13" s="4" t="n">
        <v>300377.315621198</v>
      </c>
      <c r="L13" s="4" t="n">
        <v>365121.227789443</v>
      </c>
      <c r="M13" s="6" t="n">
        <v>365508.96</v>
      </c>
      <c r="N13" s="6" t="n">
        <v>641089</v>
      </c>
    </row>
    <row r="14" customFormat="false" ht="14.25" hidden="false" customHeight="false" outlineLevel="0" collapsed="false">
      <c r="A14" s="0" t="s">
        <v>13</v>
      </c>
      <c r="B14" s="4" t="n">
        <v>46954.8307048867</v>
      </c>
      <c r="C14" s="4" t="n">
        <v>57540.2612847754</v>
      </c>
      <c r="D14" s="4" t="n">
        <v>70512.0563532447</v>
      </c>
      <c r="E14" s="5" t="n">
        <v>85053.13</v>
      </c>
      <c r="F14" s="4" t="n">
        <v>105887.935629282</v>
      </c>
      <c r="G14" s="4" t="n">
        <v>129759.161976497</v>
      </c>
      <c r="H14" s="4" t="n">
        <v>159011.883806955</v>
      </c>
      <c r="I14" s="4" t="n">
        <v>194859.297846085</v>
      </c>
      <c r="J14" s="4" t="n">
        <v>238788.102172075</v>
      </c>
      <c r="K14" s="4" t="n">
        <v>292620.153973783</v>
      </c>
      <c r="L14" s="4" t="n">
        <v>358588.027346235</v>
      </c>
      <c r="M14" s="6" t="n">
        <v>506604.46</v>
      </c>
      <c r="N14" s="6" t="n">
        <v>474528</v>
      </c>
    </row>
    <row r="15" customFormat="false" ht="14.25" hidden="false" customHeight="false" outlineLevel="0" collapsed="false">
      <c r="A15" s="0" t="s">
        <v>14</v>
      </c>
      <c r="B15" s="4" t="n">
        <v>23958.954092671</v>
      </c>
      <c r="C15" s="4" t="n">
        <v>31894.1502755358</v>
      </c>
      <c r="D15" s="4" t="n">
        <v>42457.4803167068</v>
      </c>
      <c r="E15" s="5" t="n">
        <v>57295.46</v>
      </c>
      <c r="F15" s="4" t="n">
        <v>75238.5779392082</v>
      </c>
      <c r="G15" s="4" t="n">
        <v>100157.565394091</v>
      </c>
      <c r="H15" s="4" t="n">
        <v>133329.71170424</v>
      </c>
      <c r="I15" s="4" t="n">
        <v>177488.459840124</v>
      </c>
      <c r="J15" s="4" t="n">
        <v>236272.568010218</v>
      </c>
      <c r="K15" s="4" t="n">
        <v>314525.949712046</v>
      </c>
      <c r="L15" s="4" t="n">
        <v>418696.820690526</v>
      </c>
      <c r="M15" s="6" t="n">
        <v>492989.34</v>
      </c>
      <c r="N15" s="6" t="n">
        <v>827501</v>
      </c>
    </row>
    <row r="16" customFormat="false" ht="14.25" hidden="false" customHeight="false" outlineLevel="0" collapsed="false">
      <c r="A16" s="0" t="s">
        <v>15</v>
      </c>
      <c r="B16" s="4" t="n">
        <v>49065.6098609139</v>
      </c>
      <c r="C16" s="4" t="n">
        <v>66043.1210866997</v>
      </c>
      <c r="D16" s="4" t="n">
        <v>88895.1315439888</v>
      </c>
      <c r="E16" s="5" t="n">
        <v>119429.27</v>
      </c>
      <c r="F16" s="4" t="n">
        <v>161056.683787765</v>
      </c>
      <c r="G16" s="4" t="n">
        <v>216784.955885996</v>
      </c>
      <c r="H16" s="4" t="n">
        <v>291796.130363781</v>
      </c>
      <c r="I16" s="4" t="n">
        <v>392762.409860413</v>
      </c>
      <c r="J16" s="4" t="n">
        <v>528664.68930571</v>
      </c>
      <c r="K16" s="4" t="n">
        <v>711591.401575318</v>
      </c>
      <c r="L16" s="4" t="n">
        <v>957813.776934835</v>
      </c>
      <c r="M16" s="6" t="n">
        <v>1311262.83</v>
      </c>
      <c r="N16" s="6" t="n">
        <v>1709390</v>
      </c>
    </row>
    <row r="17" customFormat="false" ht="14.25" hidden="false" customHeight="false" outlineLevel="0" collapsed="false">
      <c r="A17" s="0" t="s">
        <v>16</v>
      </c>
      <c r="B17" s="4" t="n">
        <v>751243.832577263</v>
      </c>
      <c r="C17" s="4" t="n">
        <v>933685.813733195</v>
      </c>
      <c r="D17" s="4" t="n">
        <v>1160434.41684682</v>
      </c>
      <c r="E17" s="5" t="n">
        <v>1439637.74</v>
      </c>
      <c r="F17" s="4" t="n">
        <v>1792504.61355919</v>
      </c>
      <c r="G17" s="4" t="n">
        <v>2227820.12464547</v>
      </c>
      <c r="H17" s="4" t="n">
        <v>2768853.40781399</v>
      </c>
      <c r="I17" s="4" t="n">
        <v>3441278.36406125</v>
      </c>
      <c r="J17" s="4" t="n">
        <v>4277003.88382292</v>
      </c>
      <c r="K17" s="4" t="n">
        <v>5315688.03421266</v>
      </c>
      <c r="L17" s="4" t="n">
        <v>6606619.97150562</v>
      </c>
      <c r="M17" s="6" t="n">
        <v>8346110.53</v>
      </c>
      <c r="N17" s="6" t="n">
        <v>10058223</v>
      </c>
    </row>
    <row r="18" customFormat="false" ht="14.25" hidden="false" customHeight="false" outlineLevel="0" collapsed="false">
      <c r="A18" s="0" t="s">
        <v>17</v>
      </c>
      <c r="B18" s="4" t="n">
        <v>154.679059664306</v>
      </c>
      <c r="C18" s="4" t="n">
        <v>175.082845053492</v>
      </c>
      <c r="D18" s="4" t="n">
        <v>198.178103090058</v>
      </c>
      <c r="E18" s="5" t="n">
        <v>230.42</v>
      </c>
      <c r="F18" s="4" t="n">
        <v>253.910003264881</v>
      </c>
      <c r="G18" s="4" t="n">
        <v>287.403387734813</v>
      </c>
      <c r="H18" s="4" t="n">
        <v>325.314899843775</v>
      </c>
      <c r="I18" s="4" t="n">
        <v>368.227336826018</v>
      </c>
      <c r="J18" s="4" t="n">
        <v>416.800372965075</v>
      </c>
      <c r="K18" s="4" t="n">
        <v>471.78070048044</v>
      </c>
      <c r="L18" s="4" t="n">
        <v>534.01350810323</v>
      </c>
      <c r="M18" s="6" t="n">
        <v>474.78</v>
      </c>
      <c r="N18" s="6" t="n">
        <v>848</v>
      </c>
    </row>
    <row r="19" customFormat="false" ht="14.25" hidden="false" customHeight="false" outlineLevel="0" collapsed="false">
      <c r="A19" s="0" t="s">
        <v>18</v>
      </c>
      <c r="B19" s="4" t="n">
        <v>1063.47494565128</v>
      </c>
      <c r="C19" s="4" t="n">
        <v>1334.80069565517</v>
      </c>
      <c r="D19" s="4" t="n">
        <v>1675.35013815535</v>
      </c>
      <c r="E19" s="5" t="n">
        <v>2137.91</v>
      </c>
      <c r="F19" s="4" t="n">
        <v>2639.27053184899</v>
      </c>
      <c r="G19" s="4" t="n">
        <v>3312.63106511359</v>
      </c>
      <c r="H19" s="4" t="n">
        <v>4157.78694951285</v>
      </c>
      <c r="I19" s="4" t="n">
        <v>5218.56855705922</v>
      </c>
      <c r="J19" s="4" t="n">
        <v>6549.98875974548</v>
      </c>
      <c r="K19" s="4" t="n">
        <v>8221.09593535187</v>
      </c>
      <c r="L19" s="4" t="n">
        <v>10318.5548643423</v>
      </c>
      <c r="M19" s="6" t="n">
        <v>11157.22</v>
      </c>
      <c r="N19" s="6" t="n">
        <v>18559</v>
      </c>
    </row>
    <row r="20" customFormat="false" ht="14.25" hidden="false" customHeight="false" outlineLevel="0" collapsed="false">
      <c r="A20" s="0" t="s">
        <v>19</v>
      </c>
      <c r="B20" s="4" t="n">
        <v>492862.857932615</v>
      </c>
      <c r="C20" s="4" t="n">
        <v>636568.311563473</v>
      </c>
      <c r="D20" s="4" t="n">
        <v>822174.38130046</v>
      </c>
      <c r="E20" s="5" t="n">
        <v>1061383.85</v>
      </c>
      <c r="F20" s="4" t="n">
        <v>1371518.87667561</v>
      </c>
      <c r="G20" s="4" t="n">
        <v>1771416.6152934</v>
      </c>
      <c r="H20" s="4" t="n">
        <v>2287913.69794565</v>
      </c>
      <c r="I20" s="4" t="n">
        <v>2955007.33371011</v>
      </c>
      <c r="J20" s="4" t="n">
        <v>3816607.39656448</v>
      </c>
      <c r="K20" s="4" t="n">
        <v>4929426.68985594</v>
      </c>
      <c r="L20" s="4" t="n">
        <v>6366713.93356684</v>
      </c>
      <c r="M20" s="6" t="n">
        <v>8259005.74</v>
      </c>
      <c r="N20" s="6" t="n">
        <v>10579620</v>
      </c>
    </row>
    <row r="21" customFormat="false" ht="14.25" hidden="false" customHeight="false" outlineLevel="0" collapsed="false">
      <c r="A21" s="0" t="s">
        <v>20</v>
      </c>
      <c r="B21" s="4" t="n">
        <v>1.66815570542072</v>
      </c>
      <c r="C21" s="4" t="n">
        <v>3.70282192685842</v>
      </c>
      <c r="D21" s="4" t="n">
        <v>8.21919091693275</v>
      </c>
      <c r="E21" s="5" t="n">
        <v>17.82</v>
      </c>
      <c r="F21" s="4" t="n">
        <v>40.4968787442821</v>
      </c>
      <c r="G21" s="4" t="n">
        <v>89.8913273481481</v>
      </c>
      <c r="H21" s="4" t="n">
        <v>199.532679627879</v>
      </c>
      <c r="I21" s="4" t="n">
        <v>442.90468740432</v>
      </c>
      <c r="J21" s="4" t="n">
        <v>983.119970575814</v>
      </c>
      <c r="K21" s="4" t="n">
        <v>2182.24124519745</v>
      </c>
      <c r="L21" s="4" t="n">
        <v>4843.94274836233</v>
      </c>
      <c r="M21" s="6" t="n">
        <v>13287.82</v>
      </c>
      <c r="N21" s="6" t="n">
        <v>19772</v>
      </c>
    </row>
    <row r="22" customFormat="false" ht="14.25" hidden="false" customHeight="false" outlineLevel="0" collapsed="false">
      <c r="A22" s="0" t="s">
        <v>21</v>
      </c>
      <c r="B22" s="4" t="n">
        <v>1810.73035002028</v>
      </c>
      <c r="C22" s="4" t="n">
        <v>2165.89751260025</v>
      </c>
      <c r="D22" s="4" t="n">
        <v>2590.72922427981</v>
      </c>
      <c r="E22" s="5" t="n">
        <v>3128.94</v>
      </c>
      <c r="F22" s="4" t="n">
        <v>3706.72414777954</v>
      </c>
      <c r="G22" s="4" t="n">
        <v>4433.78254055391</v>
      </c>
      <c r="H22" s="4" t="n">
        <v>5303.45038723691</v>
      </c>
      <c r="I22" s="4" t="n">
        <v>6343.69993399989</v>
      </c>
      <c r="J22" s="4" t="n">
        <v>7587.99006576481</v>
      </c>
      <c r="K22" s="4" t="n">
        <v>9076.34248737884</v>
      </c>
      <c r="L22" s="4" t="n">
        <v>10856.6289932135</v>
      </c>
      <c r="M22" s="6" t="n">
        <v>11905.82</v>
      </c>
      <c r="N22" s="6" t="n">
        <v>16780</v>
      </c>
    </row>
    <row r="23" customFormat="false" ht="14.25" hidden="false" customHeight="false" outlineLevel="0" collapsed="false">
      <c r="A23" s="0" t="s">
        <v>22</v>
      </c>
      <c r="B23" s="4" t="n">
        <v>138304.031730422</v>
      </c>
      <c r="C23" s="4" t="n">
        <v>170272.998653211</v>
      </c>
      <c r="D23" s="4" t="n">
        <v>209631.589966001</v>
      </c>
      <c r="E23" s="5" t="n">
        <v>260707.42</v>
      </c>
      <c r="F23" s="4" t="n">
        <v>317744.920099875</v>
      </c>
      <c r="G23" s="4" t="n">
        <v>391191.635379731</v>
      </c>
      <c r="H23" s="4" t="n">
        <v>481615.553579765</v>
      </c>
      <c r="I23" s="4" t="n">
        <v>592940.953926035</v>
      </c>
      <c r="J23" s="4" t="n">
        <v>729999.212503606</v>
      </c>
      <c r="K23" s="4" t="n">
        <v>898738.477629865</v>
      </c>
      <c r="L23" s="4" t="n">
        <v>1106481.81167525</v>
      </c>
      <c r="M23" s="6" t="n">
        <v>1243895.07</v>
      </c>
      <c r="N23" s="6" t="n">
        <v>1818243</v>
      </c>
    </row>
    <row r="24" customFormat="false" ht="14.25" hidden="false" customHeight="false" outlineLevel="0" collapsed="false">
      <c r="A24" s="0" t="s">
        <v>23</v>
      </c>
      <c r="B24" s="4" t="n">
        <v>546999.392714417</v>
      </c>
      <c r="C24" s="4" t="n">
        <v>655158.679373401</v>
      </c>
      <c r="D24" s="4" t="n">
        <v>784704.518643539</v>
      </c>
      <c r="E24" s="5" t="n">
        <v>940996.74</v>
      </c>
      <c r="F24" s="4" t="n">
        <v>1125707.2490044</v>
      </c>
      <c r="G24" s="4" t="n">
        <v>1348295.60040078</v>
      </c>
      <c r="H24" s="4" t="n">
        <v>1614896.79281002</v>
      </c>
      <c r="I24" s="4" t="n">
        <v>1934213.57353147</v>
      </c>
      <c r="J24" s="4" t="n">
        <v>2316669.50153743</v>
      </c>
      <c r="K24" s="4" t="n">
        <v>2774749.20701463</v>
      </c>
      <c r="L24" s="4" t="n">
        <v>3323405.93110897</v>
      </c>
      <c r="M24" s="6" t="n">
        <v>3937696.58</v>
      </c>
      <c r="N24" s="6" t="n">
        <v>4813724</v>
      </c>
    </row>
    <row r="25" customFormat="false" ht="14.25" hidden="false" customHeight="false" outlineLevel="0" collapsed="false">
      <c r="A25" s="4" t="s">
        <v>24</v>
      </c>
      <c r="B25" s="4" t="n">
        <v>2574.91660787185</v>
      </c>
      <c r="C25" s="4" t="n">
        <v>3656.93139589598</v>
      </c>
      <c r="D25" s="4" t="n">
        <v>5193.62343363133</v>
      </c>
      <c r="E25" s="5" t="n">
        <v>7248.24</v>
      </c>
      <c r="F25" s="4" t="n">
        <v>10475.5720196539</v>
      </c>
      <c r="G25" s="4" t="n">
        <v>14877.5490792703</v>
      </c>
      <c r="H25" s="4" t="n">
        <v>21129.2964423159</v>
      </c>
      <c r="I25" s="4" t="n">
        <v>30008.1126110566</v>
      </c>
      <c r="J25" s="4" t="n">
        <v>42617.9274324741</v>
      </c>
      <c r="K25" s="4" t="n">
        <v>60526.5570074678</v>
      </c>
      <c r="L25" s="4" t="n">
        <v>85960.6349694694</v>
      </c>
      <c r="M25" s="6" t="n">
        <v>142881.86</v>
      </c>
      <c r="N25" s="6" t="n">
        <v>150756</v>
      </c>
    </row>
    <row r="26" customFormat="false" ht="14.25" hidden="false" customHeight="false" outlineLevel="0" collapsed="false">
      <c r="A26" s="0" t="s">
        <v>25</v>
      </c>
      <c r="B26" s="4" t="n">
        <v>855252.319792581</v>
      </c>
      <c r="C26" s="4" t="n">
        <v>1056178.37371634</v>
      </c>
      <c r="D26" s="4" t="n">
        <v>1304308.36758977</v>
      </c>
      <c r="E26" s="5" t="n">
        <v>1602787.32</v>
      </c>
      <c r="F26" s="4" t="n">
        <v>1989144.34769071</v>
      </c>
      <c r="G26" s="4" t="n">
        <v>2456457.8120531</v>
      </c>
      <c r="H26" s="4" t="n">
        <v>3033558.11728883</v>
      </c>
      <c r="I26" s="4" t="n">
        <v>3746237.69470646</v>
      </c>
      <c r="J26" s="4" t="n">
        <v>4626348.44055086</v>
      </c>
      <c r="K26" s="4" t="n">
        <v>5713225.27762436</v>
      </c>
      <c r="L26" s="4" t="n">
        <v>7055444.15694751</v>
      </c>
      <c r="M26" s="6" t="n">
        <v>9109486.55</v>
      </c>
      <c r="N26" s="6" t="n">
        <v>10342636</v>
      </c>
    </row>
    <row r="27" customFormat="false" ht="14.25" hidden="false" customHeight="false" outlineLevel="0" collapsed="false">
      <c r="A27" s="0" t="s">
        <v>26</v>
      </c>
      <c r="B27" s="4" t="n">
        <v>9.18818150355745</v>
      </c>
      <c r="C27" s="4" t="n">
        <v>13.5148202389707</v>
      </c>
      <c r="D27" s="4" t="n">
        <v>19.878837397911</v>
      </c>
      <c r="E27" s="5" t="n">
        <v>29.3</v>
      </c>
      <c r="F27" s="4" t="n">
        <v>43.0083119428518</v>
      </c>
      <c r="G27" s="4" t="n">
        <v>63.2605705997686</v>
      </c>
      <c r="H27" s="4" t="n">
        <v>93.0494504858841</v>
      </c>
      <c r="I27" s="4" t="n">
        <v>136.865667723801</v>
      </c>
      <c r="J27" s="4" t="n">
        <v>201.314579545223</v>
      </c>
      <c r="K27" s="4" t="n">
        <v>296.111951313168</v>
      </c>
      <c r="L27" s="4" t="n">
        <v>435.548622005221</v>
      </c>
      <c r="M27" s="6" t="n">
        <v>628.86</v>
      </c>
      <c r="N27" s="6" t="n">
        <v>958</v>
      </c>
    </row>
    <row r="28" customFormat="false" ht="14.25" hidden="false" customHeight="false" outlineLevel="0" collapsed="false">
      <c r="A28" s="0" t="s">
        <v>27</v>
      </c>
      <c r="B28" s="4" t="n">
        <v>173294.644563662</v>
      </c>
      <c r="C28" s="4" t="n">
        <v>232395.979705796</v>
      </c>
      <c r="D28" s="4" t="n">
        <v>311653.55120698</v>
      </c>
      <c r="E28" s="5" t="n">
        <v>414793.91</v>
      </c>
      <c r="F28" s="4" t="n">
        <v>560478.578114631</v>
      </c>
      <c r="G28" s="4" t="n">
        <v>751627.198826741</v>
      </c>
      <c r="H28" s="4" t="n">
        <v>1007966.17047617</v>
      </c>
      <c r="I28" s="4" t="n">
        <v>1351728.36003051</v>
      </c>
      <c r="J28" s="4" t="n">
        <v>1812729.05066606</v>
      </c>
      <c r="K28" s="4" t="n">
        <v>2430951.88966406</v>
      </c>
      <c r="L28" s="4" t="n">
        <v>3260016.76184823</v>
      </c>
      <c r="M28" s="6" t="n">
        <v>4679634.14</v>
      </c>
      <c r="N28" s="6" t="n">
        <v>5518758</v>
      </c>
    </row>
    <row r="29" customFormat="false" ht="14.25" hidden="false" customHeight="false" outlineLevel="0" collapsed="false">
      <c r="A29" s="4" t="s">
        <v>28</v>
      </c>
      <c r="B29" s="4" t="n">
        <v>88130.4205308953</v>
      </c>
      <c r="C29" s="4" t="n">
        <v>118316.262480793</v>
      </c>
      <c r="D29" s="4" t="n">
        <v>158841.15703856</v>
      </c>
      <c r="E29" s="5" t="n">
        <v>209742.17</v>
      </c>
      <c r="F29" s="4" t="n">
        <v>286286.086204552</v>
      </c>
      <c r="G29" s="4" t="n">
        <v>384342.88087962</v>
      </c>
      <c r="H29" s="4" t="n">
        <v>515985.432757985</v>
      </c>
      <c r="I29" s="4" t="n">
        <v>692717.310670843</v>
      </c>
      <c r="J29" s="4" t="n">
        <v>929982.208874043</v>
      </c>
      <c r="K29" s="4" t="n">
        <v>1248513.49244425</v>
      </c>
      <c r="L29" s="4" t="n">
        <v>1676145.97993505</v>
      </c>
      <c r="M29" s="6" t="n">
        <v>2612121.67</v>
      </c>
      <c r="N29" s="6" t="n">
        <v>2645952</v>
      </c>
    </row>
    <row r="30" customFormat="false" ht="14.25" hidden="false" customHeight="false" outlineLevel="0" collapsed="false">
      <c r="A30" s="0" t="s">
        <v>29</v>
      </c>
      <c r="B30" s="4" t="n">
        <v>37.8530890335405</v>
      </c>
      <c r="C30" s="4" t="n">
        <v>63.9577729800768</v>
      </c>
      <c r="D30" s="4" t="n">
        <v>108.065070223106</v>
      </c>
      <c r="E30" s="5" t="n">
        <v>181</v>
      </c>
      <c r="F30" s="4" t="n">
        <v>308.510076733162</v>
      </c>
      <c r="G30" s="4" t="n">
        <v>521.268354936277</v>
      </c>
      <c r="H30" s="4" t="n">
        <v>880.751451411842</v>
      </c>
      <c r="I30" s="4" t="n">
        <v>1488.14542800876</v>
      </c>
      <c r="J30" s="4" t="n">
        <v>2514.41744586784</v>
      </c>
      <c r="K30" s="4" t="n">
        <v>4248.43901213624</v>
      </c>
      <c r="L30" s="4" t="n">
        <v>7178.29653524834</v>
      </c>
      <c r="M30" s="6" t="n">
        <v>13122.07</v>
      </c>
      <c r="N30" s="6" t="n">
        <v>19108</v>
      </c>
    </row>
    <row r="31" customFormat="false" ht="14.25" hidden="false" customHeight="false" outlineLevel="0" collapsed="false">
      <c r="A31" s="4" t="s">
        <v>30</v>
      </c>
      <c r="B31" s="4" t="n">
        <v>684056.173549903</v>
      </c>
      <c r="C31" s="4" t="n">
        <v>882246.532241548</v>
      </c>
      <c r="D31" s="4" t="n">
        <v>1137858.22531643</v>
      </c>
      <c r="E31" s="5" t="n">
        <v>1474450.13</v>
      </c>
      <c r="F31" s="4" t="n">
        <v>1892712.01837293</v>
      </c>
      <c r="G31" s="4" t="n">
        <v>2441084.05026989</v>
      </c>
      <c r="H31" s="4" t="n">
        <v>3148334.91975462</v>
      </c>
      <c r="I31" s="4" t="n">
        <v>4060496.30525803</v>
      </c>
      <c r="J31" s="4" t="n">
        <v>5236936.56019899</v>
      </c>
      <c r="K31" s="4" t="n">
        <v>6754224.7237211</v>
      </c>
      <c r="L31" s="4" t="n">
        <v>8711114.04427376</v>
      </c>
      <c r="M31" s="6" t="n">
        <v>10769070.47</v>
      </c>
      <c r="N31" s="6" t="n">
        <v>15045964</v>
      </c>
    </row>
    <row r="32" customFormat="false" ht="14.25" hidden="false" customHeight="false" outlineLevel="0" collapsed="false">
      <c r="A32" s="4" t="s">
        <v>31</v>
      </c>
      <c r="B32" s="4" t="n">
        <v>63246.4894271253</v>
      </c>
      <c r="C32" s="4" t="n">
        <v>77318.5724642874</v>
      </c>
      <c r="D32" s="4" t="n">
        <v>94521.6359368611</v>
      </c>
      <c r="E32" s="5" t="n">
        <v>115955.73</v>
      </c>
      <c r="F32" s="4" t="n">
        <v>141262.222474418</v>
      </c>
      <c r="G32" s="4" t="n">
        <v>172692.484338431</v>
      </c>
      <c r="H32" s="4" t="n">
        <v>211115.849832959</v>
      </c>
      <c r="I32" s="4" t="n">
        <v>258088.25567271</v>
      </c>
      <c r="J32" s="4" t="n">
        <v>315511.828073949</v>
      </c>
      <c r="K32" s="4" t="n">
        <v>385711.908490733</v>
      </c>
      <c r="L32" s="4" t="n">
        <v>471531.217259767</v>
      </c>
      <c r="M32" s="6" t="n">
        <v>558644.61</v>
      </c>
      <c r="N32" s="6" t="n">
        <v>724626</v>
      </c>
    </row>
    <row r="33" customFormat="false" ht="14.25" hidden="false" customHeight="false" outlineLevel="0" collapsed="false">
      <c r="A33" s="0" t="s">
        <v>32</v>
      </c>
      <c r="B33" s="4" t="n">
        <v>32840.9657317479</v>
      </c>
      <c r="C33" s="4" t="n">
        <v>45585.7455620461</v>
      </c>
      <c r="D33" s="4" t="n">
        <v>63276.4643835961</v>
      </c>
      <c r="E33" s="5" t="n">
        <v>88485.55</v>
      </c>
      <c r="F33" s="4" t="n">
        <v>121918.185280962</v>
      </c>
      <c r="G33" s="4" t="n">
        <v>169231.666906562</v>
      </c>
      <c r="H33" s="4" t="n">
        <v>234906.359686816</v>
      </c>
      <c r="I33" s="4" t="n">
        <v>326067.802970816</v>
      </c>
      <c r="J33" s="4" t="n">
        <v>452606.784575626</v>
      </c>
      <c r="K33" s="4" t="n">
        <v>628252.466442452</v>
      </c>
      <c r="L33" s="4" t="n">
        <v>872061.964252492</v>
      </c>
      <c r="M33" s="6" t="n">
        <v>1132419.71</v>
      </c>
      <c r="N33" s="6" t="n">
        <v>1782829</v>
      </c>
    </row>
    <row r="67" customFormat="false" ht="14.25" hidden="false" customHeight="false" outlineLevel="0" collapsed="false">
      <c r="C67" s="8"/>
      <c r="D67" s="8"/>
      <c r="E67" s="8"/>
      <c r="F67" s="8"/>
      <c r="G67" s="8"/>
      <c r="H67" s="8"/>
      <c r="I67" s="8"/>
      <c r="J67" s="8"/>
      <c r="K67" s="8"/>
      <c r="L67" s="8"/>
      <c r="M67" s="8"/>
      <c r="N67" s="8"/>
    </row>
    <row r="68" customFormat="false" ht="14.25" hidden="false" customHeight="false" outlineLevel="0" collapsed="false">
      <c r="C68" s="8"/>
      <c r="D68" s="8"/>
      <c r="E68" s="8"/>
      <c r="F68" s="8"/>
      <c r="G68" s="8"/>
      <c r="H68" s="8"/>
      <c r="I68" s="8"/>
      <c r="J68" s="8"/>
      <c r="K68" s="8"/>
      <c r="L68" s="8"/>
      <c r="M68" s="8"/>
      <c r="N68" s="8"/>
    </row>
    <row r="69" customFormat="false" ht="14.25" hidden="false" customHeight="false" outlineLevel="0" collapsed="false">
      <c r="C69" s="8"/>
      <c r="D69" s="8"/>
      <c r="E69" s="8"/>
      <c r="F69" s="8"/>
      <c r="G69" s="8"/>
      <c r="H69" s="8"/>
      <c r="I69" s="8"/>
      <c r="J69" s="8"/>
      <c r="K69" s="8"/>
      <c r="L69" s="8"/>
      <c r="M69" s="8"/>
      <c r="N69" s="8"/>
    </row>
    <row r="70" customFormat="false" ht="14.25" hidden="false" customHeight="false" outlineLevel="0" collapsed="false">
      <c r="C70" s="8"/>
      <c r="D70" s="8"/>
      <c r="E70" s="8"/>
      <c r="F70" s="8"/>
      <c r="G70" s="8"/>
      <c r="H70" s="8"/>
      <c r="I70" s="8"/>
      <c r="J70" s="8"/>
      <c r="K70" s="8"/>
      <c r="L70" s="8"/>
      <c r="M70" s="8"/>
      <c r="N70" s="8"/>
    </row>
    <row r="71" customFormat="false" ht="14.25" hidden="false" customHeight="false" outlineLevel="0" collapsed="false">
      <c r="C71" s="8"/>
      <c r="D71" s="8"/>
      <c r="E71" s="8"/>
      <c r="F71" s="8"/>
      <c r="G71" s="8"/>
      <c r="H71" s="8"/>
      <c r="I71" s="8"/>
      <c r="J71" s="8"/>
      <c r="K71" s="8"/>
      <c r="L71" s="8"/>
      <c r="M71" s="8"/>
      <c r="N71" s="8"/>
    </row>
    <row r="72" customFormat="false" ht="14.25" hidden="false" customHeight="false" outlineLevel="0" collapsed="false">
      <c r="C72" s="8"/>
      <c r="D72" s="8"/>
      <c r="E72" s="8"/>
      <c r="F72" s="8"/>
      <c r="G72" s="8"/>
      <c r="H72" s="8"/>
      <c r="I72" s="8"/>
      <c r="J72" s="8"/>
      <c r="K72" s="8"/>
      <c r="L72" s="8"/>
      <c r="M72" s="8"/>
      <c r="N72" s="8"/>
    </row>
    <row r="73" customFormat="false" ht="14.25" hidden="false" customHeight="false" outlineLevel="0" collapsed="false">
      <c r="C73" s="8"/>
      <c r="D73" s="8"/>
      <c r="E73" s="8"/>
      <c r="F73" s="8"/>
      <c r="G73" s="8"/>
      <c r="H73" s="8"/>
      <c r="I73" s="8"/>
      <c r="J73" s="8"/>
      <c r="K73" s="8"/>
      <c r="L73" s="8"/>
      <c r="M73" s="8"/>
      <c r="N73" s="8"/>
    </row>
    <row r="74" customFormat="false" ht="14.25" hidden="false" customHeight="false" outlineLevel="0" collapsed="false">
      <c r="C74" s="8"/>
      <c r="D74" s="8"/>
      <c r="E74" s="8"/>
      <c r="F74" s="8"/>
      <c r="G74" s="8"/>
      <c r="H74" s="8"/>
      <c r="I74" s="8"/>
      <c r="J74" s="8"/>
      <c r="K74" s="8"/>
      <c r="L74" s="8"/>
      <c r="M74" s="8"/>
      <c r="N74" s="8"/>
    </row>
    <row r="75" customFormat="false" ht="14.25" hidden="false" customHeight="false" outlineLevel="0" collapsed="false">
      <c r="C75" s="8"/>
      <c r="D75" s="8"/>
      <c r="E75" s="8"/>
      <c r="F75" s="8"/>
      <c r="G75" s="8"/>
      <c r="H75" s="8"/>
      <c r="I75" s="8"/>
      <c r="J75" s="8"/>
      <c r="K75" s="8"/>
      <c r="L75" s="8"/>
      <c r="M75" s="8"/>
      <c r="N75" s="8"/>
    </row>
    <row r="76" customFormat="false" ht="14.25" hidden="false" customHeight="false" outlineLevel="0" collapsed="false">
      <c r="C76" s="8"/>
      <c r="D76" s="8"/>
      <c r="E76" s="8"/>
      <c r="F76" s="8"/>
      <c r="G76" s="8"/>
      <c r="H76" s="8"/>
      <c r="I76" s="8"/>
      <c r="J76" s="8"/>
      <c r="K76" s="8"/>
      <c r="L76" s="8"/>
      <c r="M76" s="8"/>
      <c r="N76" s="8"/>
    </row>
    <row r="77" customFormat="false" ht="14.25" hidden="false" customHeight="false" outlineLevel="0" collapsed="false">
      <c r="C77" s="8"/>
      <c r="D77" s="8"/>
      <c r="E77" s="8"/>
      <c r="F77" s="8"/>
      <c r="G77" s="8"/>
      <c r="H77" s="8"/>
      <c r="I77" s="8"/>
      <c r="J77" s="8"/>
      <c r="K77" s="8"/>
      <c r="L77" s="8"/>
      <c r="M77" s="8"/>
      <c r="N77" s="8"/>
    </row>
    <row r="78" customFormat="false" ht="14.25" hidden="false" customHeight="false" outlineLevel="0" collapsed="false">
      <c r="C78" s="8"/>
      <c r="D78" s="8"/>
      <c r="E78" s="8"/>
      <c r="F78" s="8"/>
      <c r="G78" s="8"/>
      <c r="H78" s="8"/>
      <c r="I78" s="8"/>
      <c r="J78" s="8"/>
      <c r="K78" s="8"/>
      <c r="L78" s="8"/>
      <c r="M78" s="8"/>
      <c r="N78" s="8"/>
    </row>
    <row r="79" customFormat="false" ht="14.25" hidden="false" customHeight="false" outlineLevel="0" collapsed="false">
      <c r="C79" s="8"/>
      <c r="D79" s="8"/>
      <c r="E79" s="8"/>
      <c r="F79" s="8"/>
      <c r="G79" s="8"/>
      <c r="H79" s="8"/>
      <c r="I79" s="8"/>
      <c r="J79" s="8"/>
      <c r="K79" s="8"/>
      <c r="L79" s="8"/>
      <c r="M79" s="8"/>
      <c r="N79" s="8"/>
    </row>
    <row r="80" customFormat="false" ht="14.25" hidden="false" customHeight="false" outlineLevel="0" collapsed="false">
      <c r="C80" s="8"/>
      <c r="D80" s="8"/>
      <c r="E80" s="8"/>
      <c r="F80" s="8"/>
      <c r="G80" s="8"/>
      <c r="H80" s="8"/>
      <c r="I80" s="8"/>
      <c r="J80" s="8"/>
      <c r="K80" s="8"/>
      <c r="L80" s="8"/>
      <c r="M80" s="8"/>
      <c r="N80" s="8"/>
    </row>
    <row r="81" customFormat="false" ht="14.25" hidden="false" customHeight="false" outlineLevel="0" collapsed="false">
      <c r="C81" s="8"/>
      <c r="D81" s="8"/>
      <c r="E81" s="8"/>
      <c r="F81" s="8"/>
      <c r="G81" s="8"/>
      <c r="H81" s="8"/>
      <c r="I81" s="8"/>
      <c r="J81" s="8"/>
      <c r="K81" s="8"/>
      <c r="L81" s="8"/>
      <c r="M81" s="8"/>
      <c r="N81" s="8"/>
    </row>
    <row r="82" customFormat="false" ht="14.25" hidden="false" customHeight="false" outlineLevel="0" collapsed="false">
      <c r="C82" s="8"/>
      <c r="D82" s="8"/>
      <c r="E82" s="8"/>
      <c r="F82" s="8"/>
      <c r="G82" s="8"/>
      <c r="H82" s="8"/>
      <c r="I82" s="8"/>
      <c r="J82" s="8"/>
      <c r="K82" s="8"/>
      <c r="L82" s="8"/>
      <c r="M82" s="8"/>
      <c r="N82" s="8"/>
    </row>
    <row r="83" customFormat="false" ht="14.25" hidden="false" customHeight="false" outlineLevel="0" collapsed="false">
      <c r="C83" s="8"/>
      <c r="D83" s="8"/>
      <c r="E83" s="8"/>
      <c r="F83" s="8"/>
      <c r="G83" s="8"/>
      <c r="H83" s="8"/>
      <c r="I83" s="8"/>
      <c r="J83" s="8"/>
      <c r="K83" s="8"/>
      <c r="L83" s="8"/>
      <c r="M83" s="8"/>
      <c r="N83" s="8"/>
    </row>
    <row r="84" customFormat="false" ht="14.25" hidden="false" customHeight="false" outlineLevel="0" collapsed="false">
      <c r="C84" s="8"/>
      <c r="D84" s="8"/>
      <c r="E84" s="8"/>
      <c r="F84" s="8"/>
      <c r="G84" s="8"/>
      <c r="H84" s="8"/>
      <c r="I84" s="8"/>
      <c r="J84" s="8"/>
      <c r="K84" s="8"/>
      <c r="L84" s="8"/>
      <c r="M84" s="8"/>
      <c r="N84" s="8"/>
    </row>
    <row r="85" customFormat="false" ht="14.25" hidden="false" customHeight="false" outlineLevel="0" collapsed="false">
      <c r="C85" s="8"/>
      <c r="D85" s="8"/>
      <c r="E85" s="8"/>
      <c r="F85" s="8"/>
      <c r="G85" s="8"/>
      <c r="H85" s="8"/>
      <c r="I85" s="8"/>
      <c r="J85" s="8"/>
      <c r="K85" s="8"/>
      <c r="L85" s="8"/>
      <c r="M85" s="8"/>
      <c r="N85" s="8"/>
    </row>
    <row r="86" customFormat="false" ht="14.25" hidden="false" customHeight="false" outlineLevel="0" collapsed="false">
      <c r="C86" s="8"/>
      <c r="D86" s="8"/>
      <c r="E86" s="8"/>
      <c r="F86" s="8"/>
      <c r="G86" s="8"/>
      <c r="H86" s="8"/>
      <c r="I86" s="8"/>
      <c r="J86" s="8"/>
      <c r="K86" s="8"/>
      <c r="L86" s="8"/>
      <c r="M86" s="8"/>
      <c r="N86" s="8"/>
    </row>
    <row r="87" customFormat="false" ht="14.25" hidden="false" customHeight="false" outlineLevel="0" collapsed="false">
      <c r="C87" s="8"/>
      <c r="D87" s="8"/>
      <c r="E87" s="8"/>
      <c r="F87" s="8"/>
      <c r="G87" s="8"/>
      <c r="H87" s="8"/>
      <c r="I87" s="8"/>
      <c r="J87" s="8"/>
      <c r="K87" s="8"/>
      <c r="L87" s="8"/>
      <c r="M87" s="8"/>
      <c r="N87"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2" activeCellId="0" sqref="B12"/>
    </sheetView>
  </sheetViews>
  <sheetFormatPr defaultColWidth="10.59765625" defaultRowHeight="14.25" zeroHeight="false" outlineLevelRow="0" outlineLevelCol="0"/>
  <cols>
    <col collapsed="false" customWidth="true" hidden="false" outlineLevel="0" max="2" min="2" style="0" width="21.69"/>
    <col collapsed="false" customWidth="true" hidden="false" outlineLevel="0" max="4" min="4" style="0" width="13.36"/>
    <col collapsed="false" customWidth="true" hidden="false" outlineLevel="0" max="5" min="5" style="0" width="12.36"/>
    <col collapsed="false" customWidth="true" hidden="false" outlineLevel="0" max="6" min="6" style="0" width="13.36"/>
    <col collapsed="false" customWidth="true" hidden="false" outlineLevel="0" max="7" min="7" style="0" width="20.45"/>
  </cols>
  <sheetData>
    <row r="2" customFormat="false" ht="14.25" hidden="false" customHeight="false" outlineLevel="0" collapsed="false">
      <c r="B2" s="0" t="n">
        <v>2014</v>
      </c>
      <c r="C2" s="0" t="s">
        <v>0</v>
      </c>
      <c r="D2" s="0" t="s">
        <v>33</v>
      </c>
      <c r="E2" s="0" t="s">
        <v>34</v>
      </c>
      <c r="F2" s="0" t="s">
        <v>35</v>
      </c>
      <c r="G2" s="0" t="s">
        <v>36</v>
      </c>
    </row>
    <row r="3" customFormat="false" ht="14.25" hidden="false" customHeight="false" outlineLevel="0" collapsed="false">
      <c r="B3" s="0" t="s">
        <v>13</v>
      </c>
      <c r="C3" s="0" t="s">
        <v>37</v>
      </c>
      <c r="D3" s="4" t="n">
        <v>72711.69</v>
      </c>
      <c r="E3" s="4" t="n">
        <v>12341.44</v>
      </c>
      <c r="F3" s="4" t="n">
        <f aca="false">SUM(D3:E3)</f>
        <v>85053.13</v>
      </c>
      <c r="G3" s="9" t="n">
        <f aca="false">E3/F3</f>
        <v>0.145102714032982</v>
      </c>
    </row>
    <row r="4" customFormat="false" ht="14.25" hidden="false" customHeight="false" outlineLevel="0" collapsed="false">
      <c r="B4" s="0" t="s">
        <v>10</v>
      </c>
      <c r="C4" s="0" t="s">
        <v>38</v>
      </c>
      <c r="D4" s="4" t="n">
        <v>7640.66</v>
      </c>
      <c r="E4" s="4" t="n">
        <v>0</v>
      </c>
      <c r="F4" s="4" t="n">
        <f aca="false">SUM(D4:E4)</f>
        <v>7640.66</v>
      </c>
      <c r="G4" s="9" t="n">
        <f aca="false">E4/F4</f>
        <v>0</v>
      </c>
    </row>
    <row r="5" customFormat="false" ht="14.25" hidden="false" customHeight="false" outlineLevel="0" collapsed="false">
      <c r="B5" s="0" t="s">
        <v>23</v>
      </c>
      <c r="C5" s="0" t="s">
        <v>39</v>
      </c>
      <c r="D5" s="4" t="n">
        <v>790034.76</v>
      </c>
      <c r="E5" s="4" t="n">
        <v>150961.98</v>
      </c>
      <c r="F5" s="4" t="n">
        <f aca="false">SUM(D5:E5)</f>
        <v>940996.74</v>
      </c>
      <c r="G5" s="9" t="n">
        <f aca="false">E5/F5</f>
        <v>0.160427739632764</v>
      </c>
    </row>
    <row r="6" customFormat="false" ht="14.25" hidden="false" customHeight="false" outlineLevel="0" collapsed="false">
      <c r="B6" s="0" t="s">
        <v>5</v>
      </c>
      <c r="C6" s="0" t="s">
        <v>40</v>
      </c>
      <c r="D6" s="4" t="n">
        <v>16051.63</v>
      </c>
      <c r="E6" s="4" t="n">
        <v>983.32</v>
      </c>
      <c r="F6" s="4" t="n">
        <f aca="false">SUM(D6:E6)</f>
        <v>17034.95</v>
      </c>
      <c r="G6" s="9" t="n">
        <f aca="false">E6/F6</f>
        <v>0.0577236798464334</v>
      </c>
    </row>
    <row r="7" customFormat="false" ht="14.25" hidden="false" customHeight="false" outlineLevel="0" collapsed="false">
      <c r="B7" s="0" t="s">
        <v>31</v>
      </c>
      <c r="C7" s="0" t="s">
        <v>41</v>
      </c>
      <c r="D7" s="4" t="n">
        <v>114025.06</v>
      </c>
      <c r="E7" s="4" t="n">
        <v>1930.67</v>
      </c>
      <c r="F7" s="4" t="n">
        <f aca="false">SUM(D7:E7)</f>
        <v>115955.73</v>
      </c>
      <c r="G7" s="9" t="n">
        <f aca="false">E7/F7</f>
        <v>0.0166500611914564</v>
      </c>
    </row>
    <row r="8" customFormat="false" ht="14.25" hidden="false" customHeight="false" outlineLevel="0" collapsed="false">
      <c r="B8" s="0" t="s">
        <v>11</v>
      </c>
      <c r="C8" s="0" t="s">
        <v>42</v>
      </c>
      <c r="D8" s="4" t="n">
        <v>2065418.39</v>
      </c>
      <c r="E8" s="4" t="n">
        <v>51674.91</v>
      </c>
      <c r="F8" s="4" t="n">
        <f aca="false">SUM(D8:E8)</f>
        <v>2117093.3</v>
      </c>
      <c r="G8" s="9" t="n">
        <f aca="false">E8/F8</f>
        <v>0.0244084235682953</v>
      </c>
    </row>
    <row r="9" customFormat="false" ht="14.25" hidden="false" customHeight="false" outlineLevel="0" collapsed="false">
      <c r="B9" s="0" t="s">
        <v>7</v>
      </c>
      <c r="C9" s="0" t="s">
        <v>43</v>
      </c>
      <c r="D9" s="4" t="n">
        <v>2596942.05</v>
      </c>
      <c r="E9" s="4" t="n">
        <v>162463.1</v>
      </c>
      <c r="F9" s="4" t="n">
        <f aca="false">SUM(D9:E9)</f>
        <v>2759405.15</v>
      </c>
      <c r="G9" s="9" t="n">
        <f aca="false">E9/F9</f>
        <v>0.058876131328522</v>
      </c>
    </row>
    <row r="10" customFormat="false" ht="14.25" hidden="false" customHeight="false" outlineLevel="0" collapsed="false">
      <c r="B10" s="0" t="s">
        <v>25</v>
      </c>
      <c r="C10" s="0" t="s">
        <v>44</v>
      </c>
      <c r="D10" s="4" t="n">
        <v>1519495.4</v>
      </c>
      <c r="E10" s="4" t="n">
        <v>83291.92</v>
      </c>
      <c r="F10" s="4" t="n">
        <f aca="false">SUM(D10:E10)</f>
        <v>1602787.32</v>
      </c>
      <c r="G10" s="9" t="n">
        <f aca="false">E10/F10</f>
        <v>0.0519669197283143</v>
      </c>
    </row>
    <row r="11" customFormat="false" ht="14.25" hidden="false" customHeight="false" outlineLevel="0" collapsed="false">
      <c r="B11" s="0" t="s">
        <v>30</v>
      </c>
      <c r="C11" s="0" t="s">
        <v>45</v>
      </c>
      <c r="D11" s="4" t="n">
        <v>1331426.08</v>
      </c>
      <c r="E11" s="4" t="n">
        <v>143024.05</v>
      </c>
      <c r="F11" s="4" t="n">
        <f aca="false">SUM(D11:E11)</f>
        <v>1474450.13</v>
      </c>
      <c r="G11" s="9" t="n">
        <f aca="false">E11/F11</f>
        <v>0.0970016191731083</v>
      </c>
    </row>
    <row r="12" customFormat="false" ht="14.25" hidden="false" customHeight="false" outlineLevel="0" collapsed="false">
      <c r="B12" s="0" t="s">
        <v>4</v>
      </c>
      <c r="C12" s="0" t="s">
        <v>46</v>
      </c>
      <c r="D12" s="4" t="n">
        <v>65330.42</v>
      </c>
      <c r="E12" s="4" t="n">
        <v>6257.66</v>
      </c>
      <c r="F12" s="4" t="n">
        <f aca="false">SUM(D12:E12)</f>
        <v>71588.08</v>
      </c>
      <c r="G12" s="9" t="n">
        <f aca="false">E12/F12</f>
        <v>0.087412038428744</v>
      </c>
    </row>
    <row r="13" customFormat="false" ht="14.25" hidden="false" customHeight="false" outlineLevel="0" collapsed="false">
      <c r="B13" s="0" t="s">
        <v>26</v>
      </c>
      <c r="C13" s="0" t="s">
        <v>47</v>
      </c>
      <c r="D13" s="4" t="n">
        <v>29.3</v>
      </c>
      <c r="E13" s="4" t="n">
        <v>0</v>
      </c>
      <c r="F13" s="4" t="n">
        <f aca="false">SUM(D13:E13)</f>
        <v>29.3</v>
      </c>
      <c r="G13" s="9" t="n">
        <f aca="false">E13/F13</f>
        <v>0</v>
      </c>
    </row>
    <row r="14" customFormat="false" ht="14.25" hidden="false" customHeight="false" outlineLevel="0" collapsed="false">
      <c r="B14" s="0" t="s">
        <v>2</v>
      </c>
      <c r="C14" s="0" t="s">
        <v>48</v>
      </c>
      <c r="D14" s="4" t="n">
        <v>626.24</v>
      </c>
      <c r="E14" s="4" t="n">
        <v>1439.88</v>
      </c>
      <c r="F14" s="4" t="n">
        <f aca="false">SUM(D14:E14)</f>
        <v>2066.12</v>
      </c>
      <c r="G14" s="9" t="n">
        <f aca="false">E14/F14</f>
        <v>0.696900470447022</v>
      </c>
    </row>
    <row r="15" customFormat="false" ht="14.25" hidden="false" customHeight="false" outlineLevel="0" collapsed="false">
      <c r="B15" s="0" t="s">
        <v>21</v>
      </c>
      <c r="C15" s="0" t="s">
        <v>49</v>
      </c>
      <c r="D15" s="4" t="n">
        <v>3128.94</v>
      </c>
      <c r="E15" s="4" t="n">
        <v>0</v>
      </c>
      <c r="F15" s="4" t="n">
        <f aca="false">SUM(D15:E15)</f>
        <v>3128.94</v>
      </c>
      <c r="G15" s="9" t="n">
        <f aca="false">E15/F15</f>
        <v>0</v>
      </c>
    </row>
    <row r="16" customFormat="false" ht="14.25" hidden="false" customHeight="false" outlineLevel="0" collapsed="false">
      <c r="B16" s="0" t="s">
        <v>18</v>
      </c>
      <c r="C16" s="0" t="s">
        <v>50</v>
      </c>
      <c r="D16" s="4" t="n">
        <v>2049.27</v>
      </c>
      <c r="E16" s="4" t="n">
        <v>88.64</v>
      </c>
      <c r="F16" s="4" t="n">
        <f aca="false">SUM(D16:E16)</f>
        <v>2137.91</v>
      </c>
      <c r="G16" s="9" t="n">
        <f aca="false">E16/F16</f>
        <v>0.0414610530845545</v>
      </c>
    </row>
    <row r="17" customFormat="false" ht="14.25" hidden="false" customHeight="false" outlineLevel="0" collapsed="false">
      <c r="B17" s="0" t="s">
        <v>20</v>
      </c>
      <c r="C17" s="0" t="s">
        <v>51</v>
      </c>
      <c r="D17" s="4" t="n">
        <v>0</v>
      </c>
      <c r="E17" s="4" t="n">
        <v>17.82</v>
      </c>
      <c r="F17" s="4" t="n">
        <f aca="false">SUM(D17:E17)</f>
        <v>17.82</v>
      </c>
      <c r="G17" s="9" t="n">
        <f aca="false">E17/F17</f>
        <v>1</v>
      </c>
    </row>
    <row r="18" customFormat="false" ht="14.25" hidden="false" customHeight="false" outlineLevel="0" collapsed="false">
      <c r="B18" s="0" t="s">
        <v>29</v>
      </c>
      <c r="C18" s="0" t="s">
        <v>52</v>
      </c>
      <c r="D18" s="4" t="n">
        <v>181</v>
      </c>
      <c r="E18" s="4" t="n">
        <v>0</v>
      </c>
      <c r="F18" s="4" t="n">
        <f aca="false">SUM(D18:E18)</f>
        <v>181</v>
      </c>
      <c r="G18" s="9" t="n">
        <f aca="false">E18/F18</f>
        <v>0</v>
      </c>
    </row>
    <row r="19" customFormat="false" ht="14.25" hidden="false" customHeight="false" outlineLevel="0" collapsed="false">
      <c r="B19" s="0" t="s">
        <v>17</v>
      </c>
      <c r="C19" s="0" t="s">
        <v>53</v>
      </c>
      <c r="D19" s="4" t="n">
        <v>230.42</v>
      </c>
      <c r="E19" s="4" t="n">
        <v>0</v>
      </c>
      <c r="F19" s="4" t="n">
        <f aca="false">SUM(D19:E19)</f>
        <v>230.42</v>
      </c>
      <c r="G19" s="9" t="n">
        <f aca="false">E19/F19</f>
        <v>0</v>
      </c>
    </row>
    <row r="20" customFormat="false" ht="14.25" hidden="false" customHeight="false" outlineLevel="0" collapsed="false">
      <c r="B20" s="0" t="s">
        <v>3</v>
      </c>
      <c r="C20" s="0" t="s">
        <v>54</v>
      </c>
      <c r="D20" s="4" t="n">
        <v>30372.19</v>
      </c>
      <c r="E20" s="4" t="n">
        <v>58113.36</v>
      </c>
      <c r="F20" s="4" t="n">
        <f aca="false">SUM(D20:E20)</f>
        <v>88485.55</v>
      </c>
      <c r="G20" s="9" t="n">
        <f aca="false">E20/F20</f>
        <v>0.656755368531924</v>
      </c>
    </row>
    <row r="21" customFormat="false" ht="14.25" hidden="false" customHeight="false" outlineLevel="0" collapsed="false">
      <c r="B21" s="0" t="s">
        <v>32</v>
      </c>
      <c r="C21" s="0" t="s">
        <v>55</v>
      </c>
      <c r="D21" s="4" t="n">
        <v>73154.56</v>
      </c>
      <c r="E21" s="4" t="n">
        <v>21996.82</v>
      </c>
      <c r="F21" s="4" t="n">
        <f aca="false">SUM(D21:E21)</f>
        <v>95151.38</v>
      </c>
      <c r="G21" s="9" t="n">
        <f aca="false">E21/F21</f>
        <v>0.231177099060466</v>
      </c>
    </row>
    <row r="22" customFormat="false" ht="14.25" hidden="false" customHeight="false" outlineLevel="0" collapsed="false">
      <c r="B22" s="0" t="s">
        <v>12</v>
      </c>
      <c r="C22" s="0" t="s">
        <v>56</v>
      </c>
      <c r="D22" s="4" t="n">
        <v>240710.42</v>
      </c>
      <c r="E22" s="4" t="n">
        <v>19997</v>
      </c>
      <c r="F22" s="4" t="n">
        <f aca="false">SUM(D22:E22)</f>
        <v>260707.42</v>
      </c>
      <c r="G22" s="9" t="n">
        <f aca="false">E22/F22</f>
        <v>0.076702841829358</v>
      </c>
    </row>
    <row r="23" customFormat="false" ht="14.25" hidden="false" customHeight="false" outlineLevel="0" collapsed="false">
      <c r="B23" s="0" t="s">
        <v>22</v>
      </c>
      <c r="C23" s="0" t="s">
        <v>57</v>
      </c>
      <c r="D23" s="4" t="n">
        <v>384283.86</v>
      </c>
      <c r="E23" s="4" t="n">
        <v>3080.81</v>
      </c>
      <c r="F23" s="4" t="n">
        <f aca="false">SUM(D23:E23)</f>
        <v>387364.67</v>
      </c>
      <c r="G23" s="9" t="n">
        <f aca="false">E23/F23</f>
        <v>0.00795325500387013</v>
      </c>
    </row>
    <row r="24" customFormat="false" ht="14.25" hidden="false" customHeight="false" outlineLevel="0" collapsed="false">
      <c r="B24" s="0" t="s">
        <v>6</v>
      </c>
      <c r="C24" s="0" t="s">
        <v>58</v>
      </c>
      <c r="D24" s="4" t="n">
        <v>1050412.8</v>
      </c>
      <c r="E24" s="4" t="n">
        <v>10971.05</v>
      </c>
      <c r="F24" s="4" t="n">
        <f aca="false">SUM(D24:E24)</f>
        <v>1061383.85</v>
      </c>
      <c r="G24" s="9" t="n">
        <f aca="false">E24/F24</f>
        <v>0.0103365526053557</v>
      </c>
    </row>
    <row r="25" customFormat="false" ht="14.25" hidden="false" customHeight="false" outlineLevel="0" collapsed="false">
      <c r="B25" s="0" t="s">
        <v>19</v>
      </c>
      <c r="C25" s="0" t="s">
        <v>59</v>
      </c>
      <c r="D25" s="4" t="n">
        <v>99640.23</v>
      </c>
      <c r="E25" s="4" t="n">
        <v>129919.95</v>
      </c>
      <c r="F25" s="4" t="n">
        <f aca="false">SUM(D25:E25)</f>
        <v>229560.18</v>
      </c>
      <c r="G25" s="9" t="n">
        <f aca="false">E25/F25</f>
        <v>0.565951594915111</v>
      </c>
    </row>
    <row r="26" customFormat="false" ht="14.25" hidden="false" customHeight="false" outlineLevel="0" collapsed="false">
      <c r="B26" s="0" t="s">
        <v>9</v>
      </c>
      <c r="C26" s="0" t="s">
        <v>60</v>
      </c>
      <c r="D26" s="4" t="n">
        <v>5.06</v>
      </c>
      <c r="E26" s="4" t="n">
        <v>910.44</v>
      </c>
      <c r="F26" s="4" t="n">
        <f aca="false">SUM(D26:E26)</f>
        <v>915.5</v>
      </c>
      <c r="G26" s="9" t="n">
        <f aca="false">E26/F26</f>
        <v>0.994472965592573</v>
      </c>
    </row>
    <row r="27" customFormat="false" ht="14.25" hidden="false" customHeight="false" outlineLevel="0" collapsed="false">
      <c r="B27" s="0" t="s">
        <v>61</v>
      </c>
      <c r="C27" s="0" t="s">
        <v>62</v>
      </c>
      <c r="D27" s="4" t="n">
        <v>6863.98</v>
      </c>
      <c r="E27" s="4" t="n">
        <v>2121.86</v>
      </c>
      <c r="F27" s="4" t="n">
        <f aca="false">SUM(D27:E27)</f>
        <v>8985.84</v>
      </c>
      <c r="G27" s="9" t="n">
        <f aca="false">E27/F27</f>
        <v>0.236133739305396</v>
      </c>
    </row>
    <row r="28" customFormat="false" ht="14.25" hidden="false" customHeight="false" outlineLevel="0" collapsed="false">
      <c r="B28" s="0" t="s">
        <v>16</v>
      </c>
      <c r="C28" s="0" t="s">
        <v>63</v>
      </c>
      <c r="D28" s="4" t="n">
        <v>1077728.8</v>
      </c>
      <c r="E28" s="4" t="n">
        <v>361908.94</v>
      </c>
      <c r="F28" s="4" t="n">
        <f aca="false">SUM(D28:E28)</f>
        <v>1439637.74</v>
      </c>
      <c r="G28" s="9" t="n">
        <f aca="false">E28/F28</f>
        <v>0.251388894542317</v>
      </c>
    </row>
    <row r="29" customFormat="false" ht="14.25" hidden="false" customHeight="false" outlineLevel="0" collapsed="false">
      <c r="B29" s="0" t="s">
        <v>1</v>
      </c>
      <c r="C29" s="0" t="s">
        <v>64</v>
      </c>
      <c r="D29" s="4" t="n">
        <v>184946.17</v>
      </c>
      <c r="E29" s="4" t="n">
        <v>26915.08</v>
      </c>
      <c r="F29" s="4" t="n">
        <f aca="false">SUM(D29:E29)</f>
        <v>211861.25</v>
      </c>
      <c r="G29" s="9" t="n">
        <f aca="false">E29/F29</f>
        <v>0.127041070511951</v>
      </c>
    </row>
    <row r="30" customFormat="false" ht="14.25" hidden="false" customHeight="false" outlineLevel="0" collapsed="false">
      <c r="B30" s="0" t="s">
        <v>14</v>
      </c>
      <c r="C30" s="0" t="s">
        <v>65</v>
      </c>
      <c r="D30" s="4" t="n">
        <v>47968.09</v>
      </c>
      <c r="E30" s="4" t="n">
        <v>9327.37</v>
      </c>
      <c r="F30" s="4" t="n">
        <f aca="false">SUM(D30:E30)</f>
        <v>57295.46</v>
      </c>
      <c r="G30" s="9" t="n">
        <f aca="false">E30/F30</f>
        <v>0.162794224882739</v>
      </c>
    </row>
    <row r="31" customFormat="false" ht="14.25" hidden="false" customHeight="false" outlineLevel="0" collapsed="false">
      <c r="B31" s="0" t="s">
        <v>8</v>
      </c>
      <c r="C31" s="0" t="s">
        <v>66</v>
      </c>
      <c r="D31" s="4" t="n">
        <v>73.92</v>
      </c>
      <c r="E31" s="4" t="n">
        <v>2388</v>
      </c>
      <c r="F31" s="4" t="n">
        <f aca="false">SUM(D31:E31)</f>
        <v>2461.92</v>
      </c>
      <c r="G31" s="9" t="n">
        <f aca="false">E31/F31</f>
        <v>0.969974653928641</v>
      </c>
    </row>
    <row r="32" customFormat="false" ht="14.25" hidden="false" customHeight="false" outlineLevel="0" collapsed="false">
      <c r="B32" s="0" t="s">
        <v>67</v>
      </c>
      <c r="C32" s="0" t="s">
        <v>68</v>
      </c>
      <c r="D32" s="4" t="n">
        <v>26.37</v>
      </c>
      <c r="E32" s="4" t="n">
        <v>582.81</v>
      </c>
      <c r="F32" s="4" t="n">
        <f aca="false">SUM(D32:E32)</f>
        <v>609.18</v>
      </c>
      <c r="G32" s="9" t="n">
        <f aca="false">E32/F32</f>
        <v>0.956712301782724</v>
      </c>
    </row>
    <row r="33" customFormat="false" ht="14.25" hidden="false" customHeight="false" outlineLevel="0" collapsed="false">
      <c r="B33" s="0" t="s">
        <v>15</v>
      </c>
      <c r="C33" s="0" t="s">
        <v>69</v>
      </c>
      <c r="D33" s="4" t="n">
        <v>32841.48</v>
      </c>
      <c r="E33" s="4" t="n">
        <v>86587.79</v>
      </c>
      <c r="F33" s="4" t="n">
        <f aca="false">SUM(D33:E33)</f>
        <v>119429.27</v>
      </c>
      <c r="G33" s="9" t="n">
        <f aca="false">E33/F33</f>
        <v>0.725013139576253</v>
      </c>
    </row>
    <row r="34" customFormat="false" ht="14.25" hidden="false" customHeight="false" outlineLevel="0" collapsed="false">
      <c r="B34" s="0" t="s">
        <v>28</v>
      </c>
      <c r="C34" s="0" t="s">
        <v>70</v>
      </c>
      <c r="D34" s="4" t="n">
        <v>50363.31</v>
      </c>
      <c r="E34" s="4" t="n">
        <v>159378.86</v>
      </c>
      <c r="F34" s="4" t="n">
        <f aca="false">SUM(D34:E34)</f>
        <v>209742.17</v>
      </c>
      <c r="G34" s="9" t="n">
        <f aca="false">E34/F34</f>
        <v>0.759879903979252</v>
      </c>
    </row>
    <row r="35" customFormat="false" ht="14.25" hidden="false" customHeight="false" outlineLevel="0" collapsed="false">
      <c r="B35" s="0" t="s">
        <v>24</v>
      </c>
      <c r="C35" s="0" t="s">
        <v>71</v>
      </c>
      <c r="D35" s="4" t="n">
        <v>3488.23</v>
      </c>
      <c r="E35" s="4" t="n">
        <v>3760.01</v>
      </c>
      <c r="F35" s="4" t="n">
        <f aca="false">SUM(D35:E35)</f>
        <v>7248.24</v>
      </c>
      <c r="G35" s="9" t="n">
        <f aca="false">E35/F35</f>
        <v>0.518747999514365</v>
      </c>
    </row>
    <row r="36" customFormat="false" ht="14.25" hidden="false" customHeight="false" outlineLevel="0" collapsed="false">
      <c r="B36" s="0" t="s">
        <v>72</v>
      </c>
      <c r="C36" s="0" t="s">
        <v>73</v>
      </c>
      <c r="D36" s="4" t="n">
        <v>81.09</v>
      </c>
      <c r="E36" s="4" t="n">
        <v>525.09</v>
      </c>
      <c r="F36" s="4" t="n">
        <f aca="false">SUM(D36:E36)</f>
        <v>606.18</v>
      </c>
      <c r="G36" s="9" t="n">
        <f aca="false">E36/F36</f>
        <v>0.866227853112937</v>
      </c>
    </row>
    <row r="37" customFormat="false" ht="14.25" hidden="false" customHeight="false" outlineLevel="0" collapsed="false">
      <c r="B37" s="0" t="s">
        <v>27</v>
      </c>
      <c r="C37" s="0" t="s">
        <v>74</v>
      </c>
      <c r="D37" s="4" t="n">
        <v>393136.84</v>
      </c>
      <c r="E37" s="4" t="n">
        <v>21657.07</v>
      </c>
      <c r="F37" s="4" t="n">
        <f aca="false">SUM(D37:E37)</f>
        <v>414793.91</v>
      </c>
      <c r="G37" s="9" t="n">
        <f aca="false">E37/F37</f>
        <v>0.0522116392692458</v>
      </c>
    </row>
    <row r="38" customFormat="false" ht="14.25" hidden="false" customHeight="false" outlineLevel="0" collapsed="false">
      <c r="B38" s="0" t="s">
        <v>75</v>
      </c>
      <c r="C38" s="0" t="s">
        <v>76</v>
      </c>
      <c r="D38" s="4" t="n">
        <v>12261418.71</v>
      </c>
      <c r="E38" s="4" t="n">
        <v>1534617.7</v>
      </c>
      <c r="F38" s="4" t="n">
        <f aca="false">SUM(D38:E38)</f>
        <v>13796036.41</v>
      </c>
      <c r="G38" s="9" t="n">
        <f aca="false">E38/F38</f>
        <v>0.1112361300299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10.59765625" defaultRowHeight="14.25" zeroHeight="false" outlineLevelRow="0" outlineLevelCol="0"/>
  <cols>
    <col collapsed="false" customWidth="true" hidden="false" outlineLevel="0" max="2" min="2" style="0" width="18.91"/>
    <col collapsed="false" customWidth="true" hidden="false" outlineLevel="0" max="3" min="3" style="0" width="21.36"/>
  </cols>
  <sheetData>
    <row r="1" customFormat="false" ht="14.25" hidden="false" customHeight="false" outlineLevel="0" collapsed="false">
      <c r="A1" s="1" t="s">
        <v>77</v>
      </c>
      <c r="B1" s="10" t="s">
        <v>78</v>
      </c>
    </row>
    <row r="2" customFormat="false" ht="14.25" hidden="false" customHeight="false" outlineLevel="0" collapsed="false">
      <c r="A2" s="0" t="s">
        <v>79</v>
      </c>
    </row>
    <row r="3" customFormat="false" ht="14.25" hidden="false" customHeight="false" outlineLevel="0" collapsed="false">
      <c r="A3" s="0" t="s">
        <v>80</v>
      </c>
      <c r="B3" s="0" t="s">
        <v>81</v>
      </c>
    </row>
    <row r="4" customFormat="false" ht="14.25" hidden="false" customHeight="false" outlineLevel="0" collapsed="false">
      <c r="A4" s="0" t="n">
        <v>2014</v>
      </c>
      <c r="B4" s="0" t="s">
        <v>82</v>
      </c>
    </row>
    <row r="5" customFormat="false" ht="14.25" hidden="false" customHeight="false" outlineLevel="0" collapsed="false">
      <c r="A5" s="0" t="n">
        <v>2022</v>
      </c>
      <c r="B5" s="0" t="s">
        <v>83</v>
      </c>
    </row>
    <row r="6" customFormat="false" ht="14.25" hidden="false" customHeight="false" outlineLevel="0" collapsed="false">
      <c r="A6" s="0" t="n">
        <v>2023</v>
      </c>
      <c r="B6" s="0" t="s">
        <v>84</v>
      </c>
    </row>
    <row r="8" customFormat="false" ht="14.25" hidden="false" customHeight="false" outlineLevel="0" collapsed="false">
      <c r="A8" s="1" t="s">
        <v>85</v>
      </c>
    </row>
    <row r="9" customFormat="false" ht="14.25" hidden="false" customHeight="false" outlineLevel="0" collapsed="false">
      <c r="A9" s="11" t="s">
        <v>86</v>
      </c>
    </row>
    <row r="10" customFormat="false" ht="14.25" hidden="false" customHeight="false" outlineLevel="0" collapsed="false">
      <c r="A10" s="0" t="s">
        <v>87</v>
      </c>
    </row>
    <row r="11" customFormat="false" ht="14.25" hidden="false" customHeight="false" outlineLevel="0" collapsed="false">
      <c r="A11" s="1" t="s">
        <v>0</v>
      </c>
      <c r="B11" s="1" t="s">
        <v>88</v>
      </c>
      <c r="C11" s="6" t="s">
        <v>89</v>
      </c>
    </row>
    <row r="12" customFormat="false" ht="14.25" hidden="false" customHeight="false" outlineLevel="0" collapsed="false">
      <c r="A12" s="0" t="s">
        <v>13</v>
      </c>
      <c r="B12" s="8" t="n">
        <v>591481.83</v>
      </c>
      <c r="C12" s="4" t="n">
        <v>474528</v>
      </c>
    </row>
    <row r="13" customFormat="false" ht="14.25" hidden="false" customHeight="false" outlineLevel="0" collapsed="false">
      <c r="A13" s="0" t="s">
        <v>10</v>
      </c>
      <c r="B13" s="8" t="n">
        <v>104457.63982</v>
      </c>
      <c r="C13" s="4" t="n">
        <v>166522</v>
      </c>
    </row>
    <row r="14" customFormat="false" ht="14.25" hidden="false" customHeight="false" outlineLevel="0" collapsed="false">
      <c r="A14" s="0" t="s">
        <v>23</v>
      </c>
      <c r="B14" s="8" t="n">
        <v>4027306.5777</v>
      </c>
      <c r="C14" s="4" t="n">
        <v>4813724</v>
      </c>
    </row>
    <row r="15" customFormat="false" ht="14.25" hidden="false" customHeight="false" outlineLevel="0" collapsed="false">
      <c r="A15" s="0" t="s">
        <v>5</v>
      </c>
      <c r="B15" s="8" t="n">
        <v>266748.069</v>
      </c>
      <c r="C15" s="4" t="n">
        <v>234399</v>
      </c>
    </row>
    <row r="16" customFormat="false" ht="14.25" hidden="false" customHeight="false" outlineLevel="0" collapsed="false">
      <c r="B16" s="8" t="n">
        <v>342091.94328</v>
      </c>
      <c r="C16" s="4" t="n">
        <v>724626</v>
      </c>
    </row>
    <row r="18" customFormat="false" ht="14.25" hidden="false" customHeight="false" outlineLevel="0" collapsed="false">
      <c r="A18" s="11" t="s">
        <v>90</v>
      </c>
    </row>
    <row r="19" customFormat="false" ht="14.25" hidden="false" customHeight="false" outlineLevel="0" collapsed="false">
      <c r="A19" s="0" t="s">
        <v>91</v>
      </c>
    </row>
    <row r="21" customFormat="false" ht="14.25" hidden="false" customHeight="false" outlineLevel="0" collapsed="false">
      <c r="A21" s="11" t="s">
        <v>92</v>
      </c>
    </row>
    <row r="22" customFormat="false" ht="14.25" hidden="false" customHeight="false" outlineLevel="0" collapsed="false">
      <c r="A22" s="0" t="s">
        <v>76</v>
      </c>
      <c r="B22" s="0" t="n">
        <v>2014</v>
      </c>
      <c r="C22" s="0" t="n">
        <v>2022</v>
      </c>
      <c r="D22" s="0" t="n">
        <v>2023</v>
      </c>
    </row>
    <row r="23" customFormat="false" ht="14.25" hidden="false" customHeight="false" outlineLevel="0" collapsed="false">
      <c r="A23" s="0" t="s">
        <v>93</v>
      </c>
      <c r="B23" s="4" t="n">
        <v>13796036.41</v>
      </c>
      <c r="C23" s="4" t="n">
        <v>68492496.82</v>
      </c>
      <c r="D23" s="4" t="n">
        <v>86663904</v>
      </c>
    </row>
    <row r="26" customFormat="false" ht="14.25" hidden="false" customHeight="false" outlineLevel="0" collapsed="false">
      <c r="A26" s="11" t="s">
        <v>94</v>
      </c>
    </row>
    <row r="27" customFormat="false" ht="14.25" hidden="false" customHeight="false" outlineLevel="0" collapsed="false">
      <c r="A27" s="0" t="s">
        <v>95</v>
      </c>
    </row>
    <row r="29" customFormat="false" ht="14.25" hidden="false" customHeight="false" outlineLevel="0" collapsed="false">
      <c r="A29" s="0" t="s">
        <v>96</v>
      </c>
    </row>
    <row r="30" customFormat="false" ht="14.25" hidden="false" customHeight="false" outlineLevel="0" collapsed="false">
      <c r="A30" s="0" t="s">
        <v>97</v>
      </c>
    </row>
    <row r="31" customFormat="false" ht="14.25" hidden="false" customHeight="false" outlineLevel="0" collapsed="false">
      <c r="A31" s="0" t="s">
        <v>98</v>
      </c>
    </row>
    <row r="32" customFormat="false" ht="14.25" hidden="false" customHeight="false" outlineLevel="0" collapsed="false">
      <c r="A32" s="0" t="s">
        <v>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32" activeCellId="0" sqref="K32"/>
    </sheetView>
  </sheetViews>
  <sheetFormatPr defaultColWidth="10.59765625" defaultRowHeight="14.25" zeroHeight="false" outlineLevelRow="0" outlineLevelCol="0"/>
  <sheetData>
    <row r="1" customFormat="false" ht="14.25" hidden="false" customHeight="false" outlineLevel="0" collapsed="false">
      <c r="B1" s="0" t="n">
        <v>2014</v>
      </c>
    </row>
    <row r="2" customFormat="false" ht="14.25" hidden="false" customHeight="false" outlineLevel="0" collapsed="false">
      <c r="B2" s="0" t="s">
        <v>0</v>
      </c>
      <c r="D2" s="12" t="s">
        <v>100</v>
      </c>
      <c r="E2" s="12" t="s">
        <v>101</v>
      </c>
      <c r="F2" s="12" t="s">
        <v>0</v>
      </c>
      <c r="G2" s="1" t="s">
        <v>102</v>
      </c>
      <c r="H2" s="12"/>
      <c r="P2" s="12" t="s">
        <v>103</v>
      </c>
    </row>
    <row r="3" customFormat="false" ht="16.4" hidden="false" customHeight="false" outlineLevel="0" collapsed="false">
      <c r="A3" s="0" t="n">
        <v>1</v>
      </c>
      <c r="B3" s="0" t="s">
        <v>1</v>
      </c>
      <c r="C3" s="0" t="s">
        <v>1</v>
      </c>
      <c r="D3" s="0" t="n">
        <v>1</v>
      </c>
      <c r="E3" s="0" t="s">
        <v>104</v>
      </c>
      <c r="F3" s="0" t="s">
        <v>64</v>
      </c>
      <c r="G3" s="8" t="n">
        <v>211861.25</v>
      </c>
      <c r="H3" s="12" t="s">
        <v>1</v>
      </c>
      <c r="I3" s="12" t="s">
        <v>1</v>
      </c>
      <c r="O3" s="12" t="s">
        <v>1</v>
      </c>
      <c r="P3" s="8" t="n">
        <f aca="false">'AC+coolers'!C2-'AC+coolers'!B2</f>
        <v>30001.5372722438</v>
      </c>
      <c r="Q3" s="8" t="n">
        <f aca="false">'AC+coolers'!D2-'AC+coolers'!C2</f>
        <v>40311.0446145491</v>
      </c>
      <c r="R3" s="8" t="n">
        <f aca="false">'AC+coolers'!E2-'AC+coolers'!D2</f>
        <v>54241.6602405539</v>
      </c>
      <c r="S3" s="8" t="n">
        <f aca="false">'AC+coolers'!F2-'AC+coolers'!E2</f>
        <v>72697.065320732</v>
      </c>
      <c r="T3" s="8" t="n">
        <f aca="false">'AC+coolers'!G2-'AC+coolers'!F2</f>
        <v>97783.5240405243</v>
      </c>
      <c r="U3" s="8" t="n">
        <f aca="false">'AC+coolers'!H2-'AC+coolers'!G2</f>
        <v>131385.134181513</v>
      </c>
      <c r="V3" s="8" t="n">
        <f aca="false">'AC+coolers'!I2-'AC+coolers'!H2</f>
        <v>176533.354195133</v>
      </c>
      <c r="W3" s="8" t="n">
        <f aca="false">'AC+coolers'!J2-'AC+coolers'!I2</f>
        <v>237195.976070856</v>
      </c>
      <c r="X3" s="8" t="n">
        <f aca="false">'AC+coolers'!K2-'AC+coolers'!J2</f>
        <v>318704.254619306</v>
      </c>
      <c r="Y3" s="8" t="n">
        <f aca="false">'AC+coolers'!L2-'AC+coolers'!K2</f>
        <v>428221.437795833</v>
      </c>
      <c r="Z3" s="8" t="n">
        <f aca="false">'AC+coolers'!M2-'AC+coolers'!L2</f>
        <v>567888.223776102</v>
      </c>
      <c r="AA3" s="8" t="n">
        <f aca="false">'AC+coolers'!N2-'AC+coolers'!M2</f>
        <v>789539.78</v>
      </c>
    </row>
    <row r="4" customFormat="false" ht="16.4" hidden="false" customHeight="false" outlineLevel="0" collapsed="false">
      <c r="A4" s="0" t="n">
        <v>2</v>
      </c>
      <c r="B4" s="0" t="s">
        <v>2</v>
      </c>
      <c r="C4" s="0" t="s">
        <v>2</v>
      </c>
      <c r="D4" s="0" t="n">
        <v>2</v>
      </c>
      <c r="E4" s="13" t="s">
        <v>105</v>
      </c>
      <c r="F4" s="13" t="s">
        <v>48</v>
      </c>
      <c r="G4" s="14" t="n">
        <v>2066.12</v>
      </c>
      <c r="H4" s="12" t="s">
        <v>2</v>
      </c>
      <c r="I4" s="12" t="s">
        <v>2</v>
      </c>
      <c r="O4" s="12" t="s">
        <v>2</v>
      </c>
      <c r="P4" s="8" t="n">
        <f aca="false">'AC+coolers'!C3-'AC+coolers'!B3</f>
        <v>139.050614300896</v>
      </c>
      <c r="Q4" s="8" t="n">
        <f aca="false">'AC+coolers'!D3-'AC+coolers'!C3</f>
        <v>150.730494375438</v>
      </c>
      <c r="R4" s="8" t="n">
        <f aca="false">'AC+coolers'!E3-'AC+coolers'!D3</f>
        <v>120.921779662451</v>
      </c>
      <c r="S4" s="8" t="n">
        <f aca="false">'AC+coolers'!F3-'AC+coolers'!E3</f>
        <v>219.585572178917</v>
      </c>
      <c r="T4" s="8" t="n">
        <f aca="false">'AC+coolers'!G3-'AC+coolers'!F3</f>
        <v>191.993160928194</v>
      </c>
      <c r="U4" s="8" t="n">
        <f aca="false">'AC+coolers'!H3-'AC+coolers'!G3</f>
        <v>208.120073463232</v>
      </c>
      <c r="V4" s="8" t="n">
        <f aca="false">'AC+coolers'!I3-'AC+coolers'!H3</f>
        <v>225.601603561855</v>
      </c>
      <c r="W4" s="8" t="n">
        <f aca="false">'AC+coolers'!J3-'AC+coolers'!I3</f>
        <v>244.55153548035</v>
      </c>
      <c r="X4" s="8" t="n">
        <f aca="false">'AC+coolers'!K3-'AC+coolers'!J3</f>
        <v>265.093211047844</v>
      </c>
      <c r="Y4" s="8" t="n">
        <f aca="false">'AC+coolers'!L3-'AC+coolers'!K3</f>
        <v>287.360332478275</v>
      </c>
      <c r="Z4" s="8" t="n">
        <f aca="false">'AC+coolers'!M3-'AC+coolers'!L3</f>
        <v>1119.34451086133</v>
      </c>
      <c r="AA4" s="8" t="n">
        <f aca="false">'AC+coolers'!N3-'AC+coolers'!M3</f>
        <v>-1124.77</v>
      </c>
    </row>
    <row r="5" customFormat="false" ht="16.4" hidden="false" customHeight="false" outlineLevel="0" collapsed="false">
      <c r="A5" s="0" t="n">
        <v>4</v>
      </c>
      <c r="B5" s="0" t="s">
        <v>4</v>
      </c>
      <c r="C5" s="0" t="s">
        <v>4</v>
      </c>
      <c r="D5" s="0" t="n">
        <v>4</v>
      </c>
      <c r="E5" s="13" t="s">
        <v>106</v>
      </c>
      <c r="F5" s="13" t="s">
        <v>46</v>
      </c>
      <c r="G5" s="14" t="n">
        <v>71588.08</v>
      </c>
      <c r="H5" s="12" t="s">
        <v>4</v>
      </c>
      <c r="I5" s="12" t="s">
        <v>3</v>
      </c>
      <c r="O5" s="12" t="s">
        <v>3</v>
      </c>
      <c r="P5" s="8" t="n">
        <f aca="false">'AC+coolers'!C4-'AC+coolers'!B4</f>
        <v>1392.19486187378</v>
      </c>
      <c r="Q5" s="8" t="n">
        <f aca="false">'AC+coolers'!D4-'AC+coolers'!C4</f>
        <v>1718.34186405567</v>
      </c>
      <c r="R5" s="8" t="n">
        <f aca="false">'AC+coolers'!E4-'AC+coolers'!D4</f>
        <v>2086.33920101052</v>
      </c>
      <c r="S5" s="8" t="n">
        <f aca="false">'AC+coolers'!F4-'AC+coolers'!E4</f>
        <v>2652.3085027704</v>
      </c>
      <c r="T5" s="8" t="n">
        <f aca="false">'AC+coolers'!G4-'AC+coolers'!F4</f>
        <v>3231.00927028017</v>
      </c>
      <c r="U5" s="8" t="n">
        <f aca="false">'AC+coolers'!H4-'AC+coolers'!G4</f>
        <v>3987.93203761738</v>
      </c>
      <c r="V5" s="8" t="n">
        <f aca="false">'AC+coolers'!I4-'AC+coolers'!H4</f>
        <v>4922.1777489003</v>
      </c>
      <c r="W5" s="8" t="n">
        <f aca="false">'AC+coolers'!J4-'AC+coolers'!I4</f>
        <v>6075.28753329471</v>
      </c>
      <c r="X5" s="8" t="n">
        <f aca="false">'AC+coolers'!K4-'AC+coolers'!J4</f>
        <v>7498.53428605909</v>
      </c>
      <c r="Y5" s="8" t="n">
        <f aca="false">'AC+coolers'!L4-'AC+coolers'!K4</f>
        <v>9255.20251198886</v>
      </c>
      <c r="Z5" s="8" t="n">
        <f aca="false">'AC+coolers'!M4-'AC+coolers'!L4</f>
        <v>13124.6831090891</v>
      </c>
      <c r="AA5" s="8" t="n">
        <f aca="false">'AC+coolers'!N4-'AC+coolers'!M4</f>
        <v>10580.25</v>
      </c>
    </row>
    <row r="6" customFormat="false" ht="16.4" hidden="false" customHeight="false" outlineLevel="0" collapsed="false">
      <c r="A6" s="0" t="n">
        <v>5</v>
      </c>
      <c r="B6" s="0" t="s">
        <v>107</v>
      </c>
      <c r="C6" s="0" t="s">
        <v>107</v>
      </c>
      <c r="D6" s="0" t="n">
        <v>5</v>
      </c>
      <c r="E6" s="13" t="s">
        <v>108</v>
      </c>
      <c r="F6" s="13" t="s">
        <v>40</v>
      </c>
      <c r="G6" s="14" t="n">
        <v>17034.95</v>
      </c>
      <c r="H6" s="12" t="s">
        <v>107</v>
      </c>
      <c r="I6" s="12" t="s">
        <v>4</v>
      </c>
      <c r="O6" s="12" t="s">
        <v>4</v>
      </c>
      <c r="P6" s="8" t="n">
        <f aca="false">'AC+coolers'!C5-'AC+coolers'!B5</f>
        <v>9497.70667916002</v>
      </c>
      <c r="Q6" s="8" t="n">
        <f aca="false">'AC+coolers'!D5-'AC+coolers'!C5</f>
        <v>12211.3590247785</v>
      </c>
      <c r="R6" s="8" t="n">
        <f aca="false">'AC+coolers'!E5-'AC+coolers'!D5</f>
        <v>16637.3087736097</v>
      </c>
      <c r="S6" s="8" t="n">
        <f aca="false">'AC+coolers'!F5-'AC+coolers'!E5</f>
        <v>19249.2344794107</v>
      </c>
      <c r="T6" s="8" t="n">
        <f aca="false">'AC+coolers'!G5-'AC+coolers'!F5</f>
        <v>25953.7275506321</v>
      </c>
      <c r="U6" s="8" t="n">
        <f aca="false">'AC+coolers'!H5-'AC+coolers'!G5</f>
        <v>33369.1380307065</v>
      </c>
      <c r="V6" s="8" t="n">
        <f aca="false">'AC+coolers'!I5-'AC+coolers'!H5</f>
        <v>42903.2542913178</v>
      </c>
      <c r="W6" s="8" t="n">
        <f aca="false">'AC+coolers'!J5-'AC+coolers'!I5</f>
        <v>55161.4257189278</v>
      </c>
      <c r="X6" s="8" t="n">
        <f aca="false">'AC+coolers'!K5-'AC+coolers'!J5</f>
        <v>70921.9600612105</v>
      </c>
      <c r="Y6" s="8" t="n">
        <f aca="false">'AC+coolers'!L5-'AC+coolers'!K5</f>
        <v>91185.5404998715</v>
      </c>
      <c r="Z6" s="8" t="n">
        <f aca="false">'AC+coolers'!M5-'AC+coolers'!L5</f>
        <v>58249.9993679231</v>
      </c>
      <c r="AA6" s="8" t="n">
        <f aca="false">'AC+coolers'!N5-'AC+coolers'!M5</f>
        <v>285119.64</v>
      </c>
    </row>
    <row r="7" customFormat="false" ht="16.4" hidden="false" customHeight="false" outlineLevel="0" collapsed="false">
      <c r="A7" s="0" t="n">
        <v>6</v>
      </c>
      <c r="B7" s="0" t="s">
        <v>109</v>
      </c>
      <c r="C7" s="0" t="s">
        <v>109</v>
      </c>
      <c r="D7" s="0" t="n">
        <v>6</v>
      </c>
      <c r="E7" s="0" t="s">
        <v>110</v>
      </c>
      <c r="F7" s="0" t="s">
        <v>57</v>
      </c>
      <c r="G7" s="8" t="n">
        <v>387364.67</v>
      </c>
      <c r="H7" s="12" t="s">
        <v>109</v>
      </c>
      <c r="I7" s="12" t="s">
        <v>107</v>
      </c>
      <c r="O7" s="12" t="s">
        <v>107</v>
      </c>
      <c r="P7" s="8" t="n">
        <f aca="false">'AC+coolers'!C6-'AC+coolers'!B6</f>
        <v>2427.66501609614</v>
      </c>
      <c r="Q7" s="8" t="n">
        <f aca="false">'AC+coolers'!D6-'AC+coolers'!C6</f>
        <v>3262.99342069872</v>
      </c>
      <c r="R7" s="8" t="n">
        <f aca="false">'AC+coolers'!E6-'AC+coolers'!D6</f>
        <v>4288.91382445694</v>
      </c>
      <c r="S7" s="8" t="n">
        <f aca="false">'AC+coolers'!F6-'AC+coolers'!E6</f>
        <v>5991.66093480951</v>
      </c>
      <c r="T7" s="8" t="n">
        <f aca="false">'AC+coolers'!G6-'AC+coolers'!F6</f>
        <v>7923.16157626624</v>
      </c>
      <c r="U7" s="8" t="n">
        <f aca="false">'AC+coolers'!H6-'AC+coolers'!G6</f>
        <v>10649.4198841583</v>
      </c>
      <c r="V7" s="8" t="n">
        <f aca="false">'AC+coolers'!I6-'AC+coolers'!H6</f>
        <v>14313.7487198134</v>
      </c>
      <c r="W7" s="8" t="n">
        <f aca="false">'AC+coolers'!J6-'AC+coolers'!I6</f>
        <v>19238.9261239084</v>
      </c>
      <c r="X7" s="8" t="n">
        <f aca="false">'AC+coolers'!K6-'AC+coolers'!J6</f>
        <v>25858.793922306</v>
      </c>
      <c r="Y7" s="8" t="n">
        <f aca="false">'AC+coolers'!L6-'AC+coolers'!K6</f>
        <v>34756.4733504339</v>
      </c>
      <c r="Z7" s="8" t="n">
        <f aca="false">'AC+coolers'!M6-'AC+coolers'!L6</f>
        <v>56266.6254883043</v>
      </c>
      <c r="AA7" s="8" t="n">
        <f aca="false">'AC+coolers'!N6-'AC+coolers'!M6</f>
        <v>42365.24</v>
      </c>
    </row>
    <row r="8" customFormat="false" ht="16.4" hidden="false" customHeight="false" outlineLevel="0" collapsed="false">
      <c r="A8" s="0" t="n">
        <v>7</v>
      </c>
      <c r="B8" s="0" t="s">
        <v>7</v>
      </c>
      <c r="C8" s="0" t="s">
        <v>7</v>
      </c>
      <c r="D8" s="0" t="n">
        <v>7</v>
      </c>
      <c r="E8" s="13" t="s">
        <v>111</v>
      </c>
      <c r="F8" s="13" t="s">
        <v>43</v>
      </c>
      <c r="G8" s="14" t="n">
        <v>2759405.15</v>
      </c>
      <c r="H8" s="12" t="s">
        <v>7</v>
      </c>
      <c r="I8" s="12" t="s">
        <v>109</v>
      </c>
      <c r="O8" s="12" t="s">
        <v>109</v>
      </c>
      <c r="P8" s="8" t="n">
        <f aca="false">'AC+coolers'!C7-'AC+coolers'!B7</f>
        <v>52699.2201788597</v>
      </c>
      <c r="Q8" s="8" t="n">
        <f aca="false">'AC+coolers'!D7-'AC+coolers'!C7</f>
        <v>68121.0428103707</v>
      </c>
      <c r="R8" s="8" t="n">
        <f aca="false">'AC+coolers'!E7-'AC+coolers'!D7</f>
        <v>86461.4250041332</v>
      </c>
      <c r="S8" s="8" t="n">
        <f aca="false">'AC+coolers'!F7-'AC+coolers'!E7</f>
        <v>115418.890335013</v>
      </c>
      <c r="T8" s="8" t="n">
        <f aca="false">'AC+coolers'!G7-'AC+coolers'!F7</f>
        <v>147133.844926165</v>
      </c>
      <c r="U8" s="8" t="n">
        <f aca="false">'AC+coolers'!H7-'AC+coolers'!G7</f>
        <v>190190.877873567</v>
      </c>
      <c r="V8" s="8" t="n">
        <f aca="false">'AC+coolers'!I7-'AC+coolers'!H7</f>
        <v>245848.057899053</v>
      </c>
      <c r="W8" s="8" t="n">
        <f aca="false">'AC+coolers'!J7-'AC+coolers'!I7</f>
        <v>317792.673594554</v>
      </c>
      <c r="X8" s="8" t="n">
        <f aca="false">'AC+coolers'!K7-'AC+coolers'!J7</f>
        <v>410791.056286655</v>
      </c>
      <c r="Y8" s="8" t="n">
        <f aca="false">'AC+coolers'!L7-'AC+coolers'!K7</f>
        <v>531004.349522542</v>
      </c>
      <c r="Z8" s="8" t="n">
        <f aca="false">'AC+coolers'!M7-'AC+coolers'!L7</f>
        <v>800583.819562451</v>
      </c>
      <c r="AA8" s="8" t="n">
        <f aca="false">'AC+coolers'!N7-'AC+coolers'!M7</f>
        <v>646376.76</v>
      </c>
    </row>
    <row r="9" customFormat="false" ht="16.4" hidden="false" customHeight="false" outlineLevel="0" collapsed="false">
      <c r="A9" s="0" t="n">
        <v>8</v>
      </c>
      <c r="B9" s="0" t="s">
        <v>8</v>
      </c>
      <c r="C9" s="0" t="s">
        <v>8</v>
      </c>
      <c r="D9" s="0" t="n">
        <v>8</v>
      </c>
      <c r="E9" s="0" t="s">
        <v>112</v>
      </c>
      <c r="F9" s="0" t="s">
        <v>66</v>
      </c>
      <c r="G9" s="8" t="n">
        <v>2461.92</v>
      </c>
      <c r="H9" s="12" t="s">
        <v>8</v>
      </c>
      <c r="I9" s="12" t="s">
        <v>7</v>
      </c>
      <c r="O9" s="12" t="s">
        <v>7</v>
      </c>
      <c r="P9" s="8" t="n">
        <f aca="false">'AC+coolers'!C8-'AC+coolers'!B8</f>
        <v>33514.362168483</v>
      </c>
      <c r="Q9" s="8" t="n">
        <f aca="false">'AC+coolers'!D8-'AC+coolers'!C8</f>
        <v>33943.012074668</v>
      </c>
      <c r="R9" s="8" t="n">
        <f aca="false">'AC+coolers'!E8-'AC+coolers'!D8</f>
        <v>71598.4991572099</v>
      </c>
      <c r="S9" s="8" t="n">
        <f aca="false">'AC+coolers'!F8-'AC+coolers'!E8</f>
        <v>-2404.52537735179</v>
      </c>
      <c r="T9" s="8" t="n">
        <f aca="false">'AC+coolers'!G8-'AC+coolers'!F8</f>
        <v>35262.1378598311</v>
      </c>
      <c r="U9" s="8" t="n">
        <f aca="false">'AC+coolers'!H8-'AC+coolers'!G8</f>
        <v>35713.1418804</v>
      </c>
      <c r="V9" s="8" t="n">
        <f aca="false">'AC+coolers'!I8-'AC+coolers'!H8</f>
        <v>36169.9142587497</v>
      </c>
      <c r="W9" s="8" t="n">
        <f aca="false">'AC+coolers'!J8-'AC+coolers'!I8</f>
        <v>36632.5287723471</v>
      </c>
      <c r="X9" s="8" t="n">
        <f aca="false">'AC+coolers'!K8-'AC+coolers'!J8</f>
        <v>37101.0601423378</v>
      </c>
      <c r="Y9" s="8" t="n">
        <f aca="false">'AC+coolers'!L8-'AC+coolers'!K8</f>
        <v>37575.584045535</v>
      </c>
      <c r="Z9" s="8" t="n">
        <f aca="false">'AC+coolers'!M8-'AC+coolers'!L8</f>
        <v>-308654.231581849</v>
      </c>
      <c r="AA9" s="8" t="n">
        <f aca="false">'AC+coolers'!N8-'AC+coolers'!M8</f>
        <v>735529.24</v>
      </c>
    </row>
    <row r="10" customFormat="false" ht="16.4" hidden="false" customHeight="false" outlineLevel="0" collapsed="false">
      <c r="A10" s="0" t="n">
        <v>9</v>
      </c>
      <c r="B10" s="0" t="s">
        <v>9</v>
      </c>
      <c r="C10" s="0" t="s">
        <v>9</v>
      </c>
      <c r="D10" s="0" t="n">
        <v>9</v>
      </c>
      <c r="E10" s="0" t="s">
        <v>113</v>
      </c>
      <c r="F10" s="0" t="s">
        <v>59</v>
      </c>
      <c r="G10" s="8" t="n">
        <v>229560.18</v>
      </c>
      <c r="H10" s="12" t="s">
        <v>9</v>
      </c>
      <c r="I10" s="12" t="s">
        <v>8</v>
      </c>
      <c r="O10" s="12" t="s">
        <v>8</v>
      </c>
      <c r="P10" s="8" t="n">
        <f aca="false">'AC+coolers'!C9-'AC+coolers'!B9</f>
        <v>369.814155813852</v>
      </c>
      <c r="Q10" s="8" t="n">
        <f aca="false">'AC+coolers'!D9-'AC+coolers'!C9</f>
        <v>579.553660981462</v>
      </c>
      <c r="R10" s="8" t="n">
        <f aca="false">'AC+coolers'!E9-'AC+coolers'!D9</f>
        <v>860.493288858482</v>
      </c>
      <c r="S10" s="8" t="n">
        <f aca="false">'AC+coolers'!F9-'AC+coolers'!E9</f>
        <v>1471.11048757419</v>
      </c>
      <c r="T10" s="8" t="n">
        <f aca="false">'AC+coolers'!G9-'AC+coolers'!F9</f>
        <v>2230.61193116659</v>
      </c>
      <c r="U10" s="8" t="n">
        <f aca="false">'AC+coolers'!H9-'AC+coolers'!G9</f>
        <v>3495.69990930121</v>
      </c>
      <c r="V10" s="8" t="n">
        <f aca="false">'AC+coolers'!I9-'AC+coolers'!H9</f>
        <v>5478.28050462149</v>
      </c>
      <c r="W10" s="8" t="n">
        <f aca="false">'AC+coolers'!J9-'AC+coolers'!I9</f>
        <v>8585.27850387342</v>
      </c>
      <c r="X10" s="8" t="n">
        <f aca="false">'AC+coolers'!K9-'AC+coolers'!J9</f>
        <v>13454.4054337655</v>
      </c>
      <c r="Y10" s="8" t="n">
        <f aca="false">'AC+coolers'!L9-'AC+coolers'!K9</f>
        <v>21085.0498902822</v>
      </c>
      <c r="Z10" s="8" t="n">
        <f aca="false">'AC+coolers'!M9-'AC+coolers'!L9</f>
        <v>50277.0533394153</v>
      </c>
      <c r="AA10" s="8" t="n">
        <f aca="false">'AC+coolers'!N9-'AC+coolers'!M9</f>
        <v>14165.59</v>
      </c>
    </row>
    <row r="11" customFormat="false" ht="16.4" hidden="false" customHeight="false" outlineLevel="0" collapsed="false">
      <c r="A11" s="0" t="n">
        <v>10</v>
      </c>
      <c r="B11" s="0" t="s">
        <v>10</v>
      </c>
      <c r="C11" s="0" t="s">
        <v>10</v>
      </c>
      <c r="D11" s="0" t="n">
        <v>10</v>
      </c>
      <c r="E11" s="13" t="s">
        <v>114</v>
      </c>
      <c r="F11" s="13" t="s">
        <v>38</v>
      </c>
      <c r="G11" s="14" t="n">
        <v>7640.66</v>
      </c>
      <c r="H11" s="12" t="s">
        <v>10</v>
      </c>
      <c r="I11" s="12" t="s">
        <v>9</v>
      </c>
      <c r="O11" s="12" t="s">
        <v>9</v>
      </c>
      <c r="P11" s="8" t="n">
        <f aca="false">'AC+coolers'!C10-'AC+coolers'!B10</f>
        <v>32571.072578555</v>
      </c>
      <c r="Q11" s="8" t="n">
        <f aca="false">'AC+coolers'!D10-'AC+coolers'!C10</f>
        <v>43767.2647995834</v>
      </c>
      <c r="R11" s="8" t="n">
        <f aca="false">'AC+coolers'!E10-'AC+coolers'!D10</f>
        <v>58468.666901714</v>
      </c>
      <c r="S11" s="8" t="n">
        <f aca="false">'AC+coolers'!F10-'AC+coolers'!E10</f>
        <v>79372.0075682182</v>
      </c>
      <c r="T11" s="8" t="n">
        <f aca="false">'AC+coolers'!G10-'AC+coolers'!F10</f>
        <v>106194.358412329</v>
      </c>
      <c r="U11" s="8" t="n">
        <f aca="false">'AC+coolers'!H10-'AC+coolers'!G10</f>
        <v>142698.297504579</v>
      </c>
      <c r="V11" s="8" t="n">
        <f aca="false">'AC+coolers'!I10-'AC+coolers'!H10</f>
        <v>191750.33791932</v>
      </c>
      <c r="W11" s="8" t="n">
        <f aca="false">'AC+coolers'!J10-'AC+coolers'!I10</f>
        <v>257663.845576055</v>
      </c>
      <c r="X11" s="8" t="n">
        <f aca="false">'AC+coolers'!K10-'AC+coolers'!J10</f>
        <v>346234.890835001</v>
      </c>
      <c r="Y11" s="8" t="n">
        <f aca="false">'AC+coolers'!L10-'AC+coolers'!K10</f>
        <v>465251.92295963</v>
      </c>
      <c r="Z11" s="8" t="n">
        <f aca="false">'AC+coolers'!M10-'AC+coolers'!L10</f>
        <v>658284.929224867</v>
      </c>
      <c r="AA11" s="8" t="n">
        <f aca="false">'AC+coolers'!N10-'AC+coolers'!M10</f>
        <v>767938.23</v>
      </c>
    </row>
    <row r="12" customFormat="false" ht="16.4" hidden="false" customHeight="false" outlineLevel="0" collapsed="false">
      <c r="A12" s="0" t="n">
        <v>11</v>
      </c>
      <c r="B12" s="0" t="s">
        <v>11</v>
      </c>
      <c r="C12" s="0" t="s">
        <v>11</v>
      </c>
      <c r="D12" s="0" t="n">
        <v>11</v>
      </c>
      <c r="E12" s="13" t="s">
        <v>115</v>
      </c>
      <c r="F12" s="13" t="s">
        <v>42</v>
      </c>
      <c r="G12" s="14" t="n">
        <v>2117093.3</v>
      </c>
      <c r="H12" s="12" t="s">
        <v>11</v>
      </c>
      <c r="I12" s="12" t="s">
        <v>10</v>
      </c>
      <c r="O12" s="12" t="s">
        <v>10</v>
      </c>
      <c r="P12" s="8" t="n">
        <f aca="false">'AC+coolers'!C11-'AC+coolers'!B11</f>
        <v>1124.91479194948</v>
      </c>
      <c r="Q12" s="8" t="n">
        <f aca="false">'AC+coolers'!D11-'AC+coolers'!C11</f>
        <v>1590.83028905092</v>
      </c>
      <c r="R12" s="8" t="n">
        <f aca="false">'AC+coolers'!E11-'AC+coolers'!D11</f>
        <v>2208.90032618692</v>
      </c>
      <c r="S12" s="8" t="n">
        <f aca="false">'AC+coolers'!F11-'AC+coolers'!E11</f>
        <v>3222.32035074547</v>
      </c>
      <c r="T12" s="8" t="n">
        <f aca="false">'AC+coolers'!G11-'AC+coolers'!F11</f>
        <v>4499.21267490517</v>
      </c>
      <c r="U12" s="8" t="n">
        <f aca="false">'AC+coolers'!H11-'AC+coolers'!G11</f>
        <v>6362.68973556637</v>
      </c>
      <c r="V12" s="8" t="n">
        <f aca="false">'AC+coolers'!I11-'AC+coolers'!H11</f>
        <v>8997.97889014417</v>
      </c>
      <c r="W12" s="8" t="n">
        <f aca="false">'AC+coolers'!J11-'AC+coolers'!I11</f>
        <v>12724.7480974847</v>
      </c>
      <c r="X12" s="8" t="n">
        <f aca="false">'AC+coolers'!K11-'AC+coolers'!J11</f>
        <v>17995.0649052634</v>
      </c>
      <c r="Y12" s="8" t="n">
        <f aca="false">'AC+coolers'!L11-'AC+coolers'!K11</f>
        <v>25448.2335103251</v>
      </c>
      <c r="Z12" s="8" t="n">
        <f aca="false">'AC+coolers'!M11-'AC+coolers'!L11</f>
        <v>42024.1418355656</v>
      </c>
      <c r="AA12" s="8" t="n">
        <f aca="false">'AC+coolers'!N11-'AC+coolers'!M11</f>
        <v>37606.95</v>
      </c>
    </row>
    <row r="13" customFormat="false" ht="16.4" hidden="false" customHeight="false" outlineLevel="0" collapsed="false">
      <c r="A13" s="0" t="n">
        <v>12</v>
      </c>
      <c r="B13" s="0" t="s">
        <v>12</v>
      </c>
      <c r="C13" s="0" t="s">
        <v>12</v>
      </c>
      <c r="D13" s="0" t="n">
        <v>12</v>
      </c>
      <c r="E13" s="0" t="s">
        <v>116</v>
      </c>
      <c r="F13" s="0" t="s">
        <v>55</v>
      </c>
      <c r="G13" s="8" t="n">
        <v>95151.38</v>
      </c>
      <c r="H13" s="12" t="s">
        <v>12</v>
      </c>
      <c r="I13" s="12" t="s">
        <v>11</v>
      </c>
      <c r="O13" s="12" t="s">
        <v>11</v>
      </c>
      <c r="P13" s="8" t="n">
        <f aca="false">'AC+coolers'!C12-'AC+coolers'!B12</f>
        <v>132208.658070814</v>
      </c>
      <c r="Q13" s="8" t="n">
        <f aca="false">'AC+coolers'!D12-'AC+coolers'!C12</f>
        <v>142723.287303884</v>
      </c>
      <c r="R13" s="8" t="n">
        <f aca="false">'AC+coolers'!E12-'AC+coolers'!D12</f>
        <v>179798.48081978</v>
      </c>
      <c r="S13" s="8" t="n">
        <f aca="false">'AC+coolers'!F12-'AC+coolers'!E12</f>
        <v>140603.425282853</v>
      </c>
      <c r="T13" s="8" t="n">
        <f aca="false">'AC+coolers'!G12-'AC+coolers'!F12</f>
        <v>179555.895456937</v>
      </c>
      <c r="U13" s="8" t="n">
        <f aca="false">'AC+coolers'!H12-'AC+coolers'!G12</f>
        <v>193836.077215762</v>
      </c>
      <c r="V13" s="8" t="n">
        <f aca="false">'AC+coolers'!I12-'AC+coolers'!H12</f>
        <v>209251.969893718</v>
      </c>
      <c r="W13" s="8" t="n">
        <f aca="false">'AC+coolers'!J12-'AC+coolers'!I12</f>
        <v>225893.89722153</v>
      </c>
      <c r="X13" s="8" t="n">
        <f aca="false">'AC+coolers'!K12-'AC+coolers'!J12</f>
        <v>243859.366427226</v>
      </c>
      <c r="Y13" s="8" t="n">
        <f aca="false">'AC+coolers'!L12-'AC+coolers'!K12</f>
        <v>263253.639543742</v>
      </c>
      <c r="Z13" s="8" t="n">
        <f aca="false">'AC+coolers'!M12-'AC+coolers'!L12</f>
        <v>-117726.091041768</v>
      </c>
      <c r="AA13" s="8" t="n">
        <f aca="false">'AC+coolers'!N12-'AC+coolers'!M12</f>
        <v>1136568.52</v>
      </c>
    </row>
    <row r="14" customFormat="false" ht="16.4" hidden="false" customHeight="false" outlineLevel="0" collapsed="false">
      <c r="A14" s="0" t="n">
        <v>13</v>
      </c>
      <c r="B14" s="0" t="s">
        <v>13</v>
      </c>
      <c r="C14" s="0" t="s">
        <v>13</v>
      </c>
      <c r="D14" s="0" t="n">
        <v>13</v>
      </c>
      <c r="E14" s="13" t="s">
        <v>117</v>
      </c>
      <c r="F14" s="13" t="s">
        <v>37</v>
      </c>
      <c r="G14" s="14" t="n">
        <v>85053.13</v>
      </c>
      <c r="H14" s="12" t="s">
        <v>13</v>
      </c>
      <c r="I14" s="12" t="s">
        <v>12</v>
      </c>
      <c r="O14" s="12" t="s">
        <v>12</v>
      </c>
      <c r="P14" s="8" t="n">
        <f aca="false">'AC+coolers'!C13-'AC+coolers'!B13</f>
        <v>11175.5621045682</v>
      </c>
      <c r="Q14" s="8" t="n">
        <f aca="false">'AC+coolers'!D13-'AC+coolers'!C13</f>
        <v>13584.3645463622</v>
      </c>
      <c r="R14" s="8" t="n">
        <f aca="false">'AC+coolers'!E13-'AC+coolers'!D13</f>
        <v>18542.7893881422</v>
      </c>
      <c r="S14" s="8" t="n">
        <f aca="false">'AC+coolers'!F13-'AC+coolers'!E13</f>
        <v>18041.0478696609</v>
      </c>
      <c r="T14" s="8" t="n">
        <f aca="false">'AC+coolers'!G13-'AC+coolers'!F13</f>
        <v>24397.7165617523</v>
      </c>
      <c r="U14" s="8" t="n">
        <f aca="false">'AC+coolers'!H13-'AC+coolers'!G13</f>
        <v>29656.4479506749</v>
      </c>
      <c r="V14" s="8" t="n">
        <f aca="false">'AC+coolers'!I13-'AC+coolers'!H13</f>
        <v>36048.656554621</v>
      </c>
      <c r="W14" s="8" t="n">
        <f aca="false">'AC+coolers'!J13-'AC+coolers'!I13</f>
        <v>43818.6542621032</v>
      </c>
      <c r="X14" s="8" t="n">
        <f aca="false">'AC+coolers'!K13-'AC+coolers'!J13</f>
        <v>53263.4124223861</v>
      </c>
      <c r="Y14" s="8" t="n">
        <f aca="false">'AC+coolers'!L13-'AC+coolers'!K13</f>
        <v>64743.9121682445</v>
      </c>
      <c r="Z14" s="8" t="n">
        <f aca="false">'AC+coolers'!M13-'AC+coolers'!L13</f>
        <v>387.732210557093</v>
      </c>
      <c r="AA14" s="8" t="n">
        <f aca="false">'AC+coolers'!N13-'AC+coolers'!M13</f>
        <v>275580.04</v>
      </c>
    </row>
    <row r="15" customFormat="false" ht="16.4" hidden="false" customHeight="false" outlineLevel="0" collapsed="false">
      <c r="A15" s="0" t="n">
        <v>14</v>
      </c>
      <c r="B15" s="0" t="s">
        <v>14</v>
      </c>
      <c r="C15" s="0" t="s">
        <v>14</v>
      </c>
      <c r="D15" s="0" t="n">
        <v>14</v>
      </c>
      <c r="E15" s="0" t="s">
        <v>118</v>
      </c>
      <c r="F15" s="0" t="s">
        <v>65</v>
      </c>
      <c r="G15" s="8" t="n">
        <v>57295.46</v>
      </c>
      <c r="H15" s="12" t="s">
        <v>14</v>
      </c>
      <c r="I15" s="12" t="s">
        <v>13</v>
      </c>
      <c r="O15" s="12" t="s">
        <v>13</v>
      </c>
      <c r="P15" s="8" t="n">
        <f aca="false">'AC+coolers'!C14-'AC+coolers'!B14</f>
        <v>10585.4305798887</v>
      </c>
      <c r="Q15" s="8" t="n">
        <f aca="false">'AC+coolers'!D14-'AC+coolers'!C14</f>
        <v>12971.7950684693</v>
      </c>
      <c r="R15" s="8" t="n">
        <f aca="false">'AC+coolers'!E14-'AC+coolers'!D14</f>
        <v>14541.0736467553</v>
      </c>
      <c r="S15" s="8" t="n">
        <f aca="false">'AC+coolers'!F14-'AC+coolers'!E14</f>
        <v>20834.805629282</v>
      </c>
      <c r="T15" s="8" t="n">
        <f aca="false">'AC+coolers'!G14-'AC+coolers'!F14</f>
        <v>23871.2263472146</v>
      </c>
      <c r="U15" s="8" t="n">
        <f aca="false">'AC+coolers'!H14-'AC+coolers'!G14</f>
        <v>29252.7218304584</v>
      </c>
      <c r="V15" s="8" t="n">
        <f aca="false">'AC+coolers'!I14-'AC+coolers'!H14</f>
        <v>35847.4140391302</v>
      </c>
      <c r="W15" s="8" t="n">
        <f aca="false">'AC+coolers'!J14-'AC+coolers'!I14</f>
        <v>43928.80432599</v>
      </c>
      <c r="X15" s="8" t="n">
        <f aca="false">'AC+coolers'!K14-'AC+coolers'!J14</f>
        <v>53832.0518017078</v>
      </c>
      <c r="Y15" s="8" t="n">
        <f aca="false">'AC+coolers'!L14-'AC+coolers'!K14</f>
        <v>65967.8733724518</v>
      </c>
      <c r="Z15" s="8" t="n">
        <f aca="false">'AC+coolers'!M14-'AC+coolers'!L14</f>
        <v>148016.432653765</v>
      </c>
      <c r="AA15" s="8" t="n">
        <f aca="false">'AC+coolers'!N14-'AC+coolers'!M14</f>
        <v>-32076.46</v>
      </c>
    </row>
    <row r="16" customFormat="false" ht="16.4" hidden="false" customHeight="false" outlineLevel="0" collapsed="false">
      <c r="A16" s="0" t="n">
        <v>15</v>
      </c>
      <c r="B16" s="0" t="s">
        <v>15</v>
      </c>
      <c r="C16" s="0" t="s">
        <v>15</v>
      </c>
      <c r="D16" s="0" t="n">
        <v>15</v>
      </c>
      <c r="E16" s="0" t="s">
        <v>119</v>
      </c>
      <c r="F16" s="0" t="s">
        <v>69</v>
      </c>
      <c r="G16" s="8" t="n">
        <v>119429.27</v>
      </c>
      <c r="H16" s="12" t="s">
        <v>15</v>
      </c>
      <c r="I16" s="12" t="s">
        <v>14</v>
      </c>
      <c r="O16" s="12" t="s">
        <v>14</v>
      </c>
      <c r="P16" s="8" t="n">
        <f aca="false">'AC+coolers'!C15-'AC+coolers'!B15</f>
        <v>7935.19618286479</v>
      </c>
      <c r="Q16" s="8" t="n">
        <f aca="false">'AC+coolers'!D15-'AC+coolers'!C15</f>
        <v>10563.330041171</v>
      </c>
      <c r="R16" s="8" t="n">
        <f aca="false">'AC+coolers'!E15-'AC+coolers'!D15</f>
        <v>14837.9796832932</v>
      </c>
      <c r="S16" s="8" t="n">
        <f aca="false">'AC+coolers'!F15-'AC+coolers'!E15</f>
        <v>17943.1179392082</v>
      </c>
      <c r="T16" s="8" t="n">
        <f aca="false">'AC+coolers'!G15-'AC+coolers'!F15</f>
        <v>24918.9874548827</v>
      </c>
      <c r="U16" s="8" t="n">
        <f aca="false">'AC+coolers'!H15-'AC+coolers'!G15</f>
        <v>33172.1463101489</v>
      </c>
      <c r="V16" s="8" t="n">
        <f aca="false">'AC+coolers'!I15-'AC+coolers'!H15</f>
        <v>44158.7481358839</v>
      </c>
      <c r="W16" s="8" t="n">
        <f aca="false">'AC+coolers'!J15-'AC+coolers'!I15</f>
        <v>58784.1081700947</v>
      </c>
      <c r="X16" s="8" t="n">
        <f aca="false">'AC+coolers'!K15-'AC+coolers'!J15</f>
        <v>78253.3817018276</v>
      </c>
      <c r="Y16" s="8" t="n">
        <f aca="false">'AC+coolers'!L15-'AC+coolers'!K15</f>
        <v>104170.87097848</v>
      </c>
      <c r="Z16" s="8" t="n">
        <f aca="false">'AC+coolers'!M15-'AC+coolers'!L15</f>
        <v>74292.5193094741</v>
      </c>
      <c r="AA16" s="8" t="n">
        <f aca="false">'AC+coolers'!N15-'AC+coolers'!M15</f>
        <v>334511.66</v>
      </c>
    </row>
    <row r="17" customFormat="false" ht="16.4" hidden="false" customHeight="false" outlineLevel="0" collapsed="false">
      <c r="A17" s="0" t="n">
        <v>16</v>
      </c>
      <c r="B17" s="0" t="s">
        <v>16</v>
      </c>
      <c r="C17" s="0" t="s">
        <v>16</v>
      </c>
      <c r="D17" s="0" t="n">
        <v>16</v>
      </c>
      <c r="E17" s="0" t="s">
        <v>120</v>
      </c>
      <c r="F17" s="0" t="s">
        <v>63</v>
      </c>
      <c r="G17" s="8" t="n">
        <v>1439637.74</v>
      </c>
      <c r="H17" s="12" t="s">
        <v>16</v>
      </c>
      <c r="I17" s="12" t="s">
        <v>15</v>
      </c>
      <c r="O17" s="12" t="s">
        <v>15</v>
      </c>
      <c r="P17" s="8" t="n">
        <f aca="false">'AC+coolers'!C16-'AC+coolers'!B16</f>
        <v>16977.5112257857</v>
      </c>
      <c r="Q17" s="8" t="n">
        <f aca="false">'AC+coolers'!D16-'AC+coolers'!C16</f>
        <v>22852.0104572892</v>
      </c>
      <c r="R17" s="8" t="n">
        <f aca="false">'AC+coolers'!E16-'AC+coolers'!D16</f>
        <v>30534.1384560112</v>
      </c>
      <c r="S17" s="8" t="n">
        <f aca="false">'AC+coolers'!F16-'AC+coolers'!E16</f>
        <v>41627.4137877654</v>
      </c>
      <c r="T17" s="8" t="n">
        <f aca="false">'AC+coolers'!G16-'AC+coolers'!F16</f>
        <v>55728.2720982302</v>
      </c>
      <c r="U17" s="8" t="n">
        <f aca="false">'AC+coolers'!H16-'AC+coolers'!G16</f>
        <v>75011.1744777853</v>
      </c>
      <c r="V17" s="8" t="n">
        <f aca="false">'AC+coolers'!I16-'AC+coolers'!H16</f>
        <v>100966.279496632</v>
      </c>
      <c r="W17" s="8" t="n">
        <f aca="false">'AC+coolers'!J16-'AC+coolers'!I16</f>
        <v>135902.279445297</v>
      </c>
      <c r="X17" s="8" t="n">
        <f aca="false">'AC+coolers'!K16-'AC+coolers'!J16</f>
        <v>182926.712269608</v>
      </c>
      <c r="Y17" s="8" t="n">
        <f aca="false">'AC+coolers'!L16-'AC+coolers'!K16</f>
        <v>246222.375359517</v>
      </c>
      <c r="Z17" s="8" t="n">
        <f aca="false">'AC+coolers'!M16-'AC+coolers'!L16</f>
        <v>353449.053065165</v>
      </c>
      <c r="AA17" s="8" t="n">
        <f aca="false">'AC+coolers'!N16-'AC+coolers'!M16</f>
        <v>398127.17</v>
      </c>
    </row>
    <row r="18" customFormat="false" ht="16.4" hidden="false" customHeight="false" outlineLevel="0" collapsed="false">
      <c r="A18" s="0" t="n">
        <v>17</v>
      </c>
      <c r="B18" s="0" t="s">
        <v>17</v>
      </c>
      <c r="C18" s="0" t="s">
        <v>17</v>
      </c>
      <c r="D18" s="0" t="n">
        <v>17</v>
      </c>
      <c r="E18" s="13" t="s">
        <v>121</v>
      </c>
      <c r="F18" s="13" t="s">
        <v>53</v>
      </c>
      <c r="G18" s="14" t="n">
        <v>230.42</v>
      </c>
      <c r="H18" s="12" t="s">
        <v>17</v>
      </c>
      <c r="I18" s="12" t="s">
        <v>16</v>
      </c>
      <c r="O18" s="12" t="s">
        <v>16</v>
      </c>
      <c r="P18" s="8" t="n">
        <f aca="false">'AC+coolers'!C17-'AC+coolers'!B17</f>
        <v>182441.981155932</v>
      </c>
      <c r="Q18" s="8" t="n">
        <f aca="false">'AC+coolers'!D17-'AC+coolers'!C17</f>
        <v>226748.603113629</v>
      </c>
      <c r="R18" s="8" t="n">
        <f aca="false">'AC+coolers'!E17-'AC+coolers'!D17</f>
        <v>279203.323153176</v>
      </c>
      <c r="S18" s="8" t="n">
        <f aca="false">'AC+coolers'!F17-'AC+coolers'!E17</f>
        <v>352866.873559186</v>
      </c>
      <c r="T18" s="8" t="n">
        <f aca="false">'AC+coolers'!G17-'AC+coolers'!F17</f>
        <v>435315.511086287</v>
      </c>
      <c r="U18" s="8" t="n">
        <f aca="false">'AC+coolers'!H17-'AC+coolers'!G17</f>
        <v>541033.283168516</v>
      </c>
      <c r="V18" s="8" t="n">
        <f aca="false">'AC+coolers'!I17-'AC+coolers'!H17</f>
        <v>672424.956247262</v>
      </c>
      <c r="W18" s="8" t="n">
        <f aca="false">'AC+coolers'!J17-'AC+coolers'!I17</f>
        <v>835725.519761668</v>
      </c>
      <c r="X18" s="8" t="n">
        <f aca="false">'AC+coolers'!K17-'AC+coolers'!J17</f>
        <v>1038684.15038974</v>
      </c>
      <c r="Y18" s="8" t="n">
        <f aca="false">'AC+coolers'!L17-'AC+coolers'!K17</f>
        <v>1290931.93729297</v>
      </c>
      <c r="Z18" s="8" t="n">
        <f aca="false">'AC+coolers'!M17-'AC+coolers'!L17</f>
        <v>1739490.55849438</v>
      </c>
      <c r="AA18" s="8" t="n">
        <f aca="false">'AC+coolers'!N17-'AC+coolers'!M17</f>
        <v>1712112.47</v>
      </c>
    </row>
    <row r="19" customFormat="false" ht="16.4" hidden="false" customHeight="false" outlineLevel="0" collapsed="false">
      <c r="A19" s="0" t="n">
        <v>18</v>
      </c>
      <c r="B19" s="0" t="s">
        <v>18</v>
      </c>
      <c r="C19" s="0" t="s">
        <v>18</v>
      </c>
      <c r="D19" s="0" t="n">
        <v>18</v>
      </c>
      <c r="E19" s="13" t="s">
        <v>122</v>
      </c>
      <c r="F19" s="13" t="s">
        <v>50</v>
      </c>
      <c r="G19" s="14" t="n">
        <v>2137.91</v>
      </c>
      <c r="H19" s="12" t="s">
        <v>18</v>
      </c>
      <c r="I19" s="12" t="s">
        <v>17</v>
      </c>
      <c r="O19" s="12" t="s">
        <v>17</v>
      </c>
      <c r="P19" s="8" t="n">
        <f aca="false">'AC+coolers'!C18-'AC+coolers'!B18</f>
        <v>20.4037853891864</v>
      </c>
      <c r="Q19" s="8" t="n">
        <f aca="false">'AC+coolers'!D18-'AC+coolers'!C18</f>
        <v>23.0952580365657</v>
      </c>
      <c r="R19" s="8" t="n">
        <f aca="false">'AC+coolers'!E18-'AC+coolers'!D18</f>
        <v>32.241896909942</v>
      </c>
      <c r="S19" s="8" t="n">
        <f aca="false">'AC+coolers'!F18-'AC+coolers'!E18</f>
        <v>23.4900032648805</v>
      </c>
      <c r="T19" s="8" t="n">
        <f aca="false">'AC+coolers'!G18-'AC+coolers'!F18</f>
        <v>33.4933844699325</v>
      </c>
      <c r="U19" s="8" t="n">
        <f aca="false">'AC+coolers'!H18-'AC+coolers'!G18</f>
        <v>37.9115121089623</v>
      </c>
      <c r="V19" s="8" t="n">
        <f aca="false">'AC+coolers'!I18-'AC+coolers'!H18</f>
        <v>42.9124369822424</v>
      </c>
      <c r="W19" s="8" t="n">
        <f aca="false">'AC+coolers'!J18-'AC+coolers'!I18</f>
        <v>48.5730361390571</v>
      </c>
      <c r="X19" s="8" t="n">
        <f aca="false">'AC+coolers'!K18-'AC+coolers'!J18</f>
        <v>54.980327515365</v>
      </c>
      <c r="Y19" s="8" t="n">
        <f aca="false">'AC+coolers'!L18-'AC+coolers'!K18</f>
        <v>62.2328076227906</v>
      </c>
      <c r="Z19" s="8" t="n">
        <f aca="false">'AC+coolers'!M18-'AC+coolers'!L18</f>
        <v>-59.2335081032304</v>
      </c>
      <c r="AA19" s="8" t="n">
        <f aca="false">'AC+coolers'!N18-'AC+coolers'!M18</f>
        <v>373.22</v>
      </c>
    </row>
    <row r="20" customFormat="false" ht="16.4" hidden="false" customHeight="false" outlineLevel="0" collapsed="false">
      <c r="A20" s="0" t="n">
        <v>19</v>
      </c>
      <c r="B20" s="0" t="s">
        <v>19</v>
      </c>
      <c r="C20" s="0" t="s">
        <v>19</v>
      </c>
      <c r="D20" s="0" t="n">
        <v>19</v>
      </c>
      <c r="E20" s="0" t="s">
        <v>123</v>
      </c>
      <c r="F20" s="0" t="s">
        <v>58</v>
      </c>
      <c r="G20" s="8" t="n">
        <v>1061383.85</v>
      </c>
      <c r="H20" s="12" t="s">
        <v>19</v>
      </c>
      <c r="I20" s="12" t="s">
        <v>18</v>
      </c>
      <c r="O20" s="12" t="s">
        <v>18</v>
      </c>
      <c r="P20" s="8" t="n">
        <f aca="false">'AC+coolers'!C19-'AC+coolers'!B19</f>
        <v>271.325750003887</v>
      </c>
      <c r="Q20" s="8" t="n">
        <f aca="false">'AC+coolers'!D19-'AC+coolers'!C19</f>
        <v>340.549442500176</v>
      </c>
      <c r="R20" s="8" t="n">
        <f aca="false">'AC+coolers'!E19-'AC+coolers'!D19</f>
        <v>462.559861844653</v>
      </c>
      <c r="S20" s="8" t="n">
        <f aca="false">'AC+coolers'!F19-'AC+coolers'!E19</f>
        <v>501.360531848991</v>
      </c>
      <c r="T20" s="8" t="n">
        <f aca="false">'AC+coolers'!G19-'AC+coolers'!F19</f>
        <v>673.360533264595</v>
      </c>
      <c r="U20" s="8" t="n">
        <f aca="false">'AC+coolers'!H19-'AC+coolers'!G19</f>
        <v>845.155884399263</v>
      </c>
      <c r="V20" s="8" t="n">
        <f aca="false">'AC+coolers'!I19-'AC+coolers'!H19</f>
        <v>1060.78160754637</v>
      </c>
      <c r="W20" s="8" t="n">
        <f aca="false">'AC+coolers'!J19-'AC+coolers'!I19</f>
        <v>1331.42020268626</v>
      </c>
      <c r="X20" s="8" t="n">
        <f aca="false">'AC+coolers'!K19-'AC+coolers'!J19</f>
        <v>1671.10717560638</v>
      </c>
      <c r="Y20" s="8" t="n">
        <f aca="false">'AC+coolers'!L19-'AC+coolers'!K19</f>
        <v>2097.4589289904</v>
      </c>
      <c r="Z20" s="8" t="n">
        <f aca="false">'AC+coolers'!M19-'AC+coolers'!L19</f>
        <v>838.66513565773</v>
      </c>
      <c r="AA20" s="8" t="n">
        <f aca="false">'AC+coolers'!N19-'AC+coolers'!M19</f>
        <v>7401.78</v>
      </c>
    </row>
    <row r="21" customFormat="false" ht="16.4" hidden="false" customHeight="false" outlineLevel="0" collapsed="false">
      <c r="A21" s="0" t="n">
        <v>20</v>
      </c>
      <c r="B21" s="0" t="s">
        <v>20</v>
      </c>
      <c r="C21" s="0" t="s">
        <v>20</v>
      </c>
      <c r="D21" s="0" t="n">
        <v>20</v>
      </c>
      <c r="E21" s="13" t="s">
        <v>124</v>
      </c>
      <c r="F21" s="13" t="s">
        <v>51</v>
      </c>
      <c r="G21" s="14" t="n">
        <v>17.82</v>
      </c>
      <c r="H21" s="12" t="s">
        <v>20</v>
      </c>
      <c r="I21" s="12" t="s">
        <v>19</v>
      </c>
      <c r="O21" s="12" t="s">
        <v>19</v>
      </c>
      <c r="P21" s="8" t="n">
        <f aca="false">'AC+coolers'!C20-'AC+coolers'!B20</f>
        <v>143705.453630858</v>
      </c>
      <c r="Q21" s="8" t="n">
        <f aca="false">'AC+coolers'!D20-'AC+coolers'!C20</f>
        <v>185606.069736987</v>
      </c>
      <c r="R21" s="8" t="n">
        <f aca="false">'AC+coolers'!E20-'AC+coolers'!D20</f>
        <v>239209.46869954</v>
      </c>
      <c r="S21" s="8" t="n">
        <f aca="false">'AC+coolers'!F20-'AC+coolers'!E20</f>
        <v>310135.02667561</v>
      </c>
      <c r="T21" s="8" t="n">
        <f aca="false">'AC+coolers'!G20-'AC+coolers'!F20</f>
        <v>399897.738617787</v>
      </c>
      <c r="U21" s="8" t="n">
        <f aca="false">'AC+coolers'!H20-'AC+coolers'!G20</f>
        <v>516497.082652253</v>
      </c>
      <c r="V21" s="8" t="n">
        <f aca="false">'AC+coolers'!I20-'AC+coolers'!H20</f>
        <v>667093.635764463</v>
      </c>
      <c r="W21" s="8" t="n">
        <f aca="false">'AC+coolers'!J20-'AC+coolers'!I20</f>
        <v>861600.062854363</v>
      </c>
      <c r="X21" s="8" t="n">
        <f aca="false">'AC+coolers'!K20-'AC+coolers'!J20</f>
        <v>1112819.29329146</v>
      </c>
      <c r="Y21" s="8" t="n">
        <f aca="false">'AC+coolers'!L20-'AC+coolers'!K20</f>
        <v>1437287.2437109</v>
      </c>
      <c r="Z21" s="8" t="n">
        <f aca="false">'AC+coolers'!M20-'AC+coolers'!L20</f>
        <v>1892291.80643316</v>
      </c>
      <c r="AA21" s="8" t="n">
        <f aca="false">'AC+coolers'!N20-'AC+coolers'!M20</f>
        <v>2320614.26</v>
      </c>
    </row>
    <row r="22" customFormat="false" ht="16.4" hidden="false" customHeight="false" outlineLevel="0" collapsed="false">
      <c r="A22" s="0" t="n">
        <v>21</v>
      </c>
      <c r="B22" s="0" t="s">
        <v>21</v>
      </c>
      <c r="C22" s="0" t="s">
        <v>21</v>
      </c>
      <c r="D22" s="0" t="n">
        <v>21</v>
      </c>
      <c r="E22" s="13" t="s">
        <v>125</v>
      </c>
      <c r="F22" s="13" t="s">
        <v>49</v>
      </c>
      <c r="G22" s="14" t="n">
        <v>3128.94</v>
      </c>
      <c r="H22" s="12" t="s">
        <v>21</v>
      </c>
      <c r="I22" s="12" t="s">
        <v>20</v>
      </c>
      <c r="O22" s="12" t="s">
        <v>20</v>
      </c>
      <c r="P22" s="8" t="n">
        <f aca="false">'AC+coolers'!C21-'AC+coolers'!B21</f>
        <v>2.0346662214377</v>
      </c>
      <c r="Q22" s="8" t="n">
        <f aca="false">'AC+coolers'!D21-'AC+coolers'!C21</f>
        <v>4.51636899007433</v>
      </c>
      <c r="R22" s="8" t="n">
        <f aca="false">'AC+coolers'!E21-'AC+coolers'!D21</f>
        <v>9.60080908306725</v>
      </c>
      <c r="S22" s="8" t="n">
        <f aca="false">'AC+coolers'!F21-'AC+coolers'!E21</f>
        <v>22.6768787442821</v>
      </c>
      <c r="T22" s="8" t="n">
        <f aca="false">'AC+coolers'!G21-'AC+coolers'!F21</f>
        <v>49.394448603866</v>
      </c>
      <c r="U22" s="8" t="n">
        <f aca="false">'AC+coolers'!H21-'AC+coolers'!G21</f>
        <v>109.641352279731</v>
      </c>
      <c r="V22" s="8" t="n">
        <f aca="false">'AC+coolers'!I21-'AC+coolers'!H21</f>
        <v>243.372007776441</v>
      </c>
      <c r="W22" s="8" t="n">
        <f aca="false">'AC+coolers'!J21-'AC+coolers'!I21</f>
        <v>540.215283171494</v>
      </c>
      <c r="X22" s="8" t="n">
        <f aca="false">'AC+coolers'!K21-'AC+coolers'!J21</f>
        <v>1199.12127462163</v>
      </c>
      <c r="Y22" s="8" t="n">
        <f aca="false">'AC+coolers'!L21-'AC+coolers'!K21</f>
        <v>2661.70150316488</v>
      </c>
      <c r="Z22" s="8" t="n">
        <f aca="false">'AC+coolers'!M21-'AC+coolers'!L21</f>
        <v>8443.87725163767</v>
      </c>
      <c r="AA22" s="8" t="n">
        <f aca="false">'AC+coolers'!N21-'AC+coolers'!M21</f>
        <v>6484.18</v>
      </c>
    </row>
    <row r="23" customFormat="false" ht="16.4" hidden="false" customHeight="false" outlineLevel="0" collapsed="false">
      <c r="A23" s="0" t="n">
        <v>22</v>
      </c>
      <c r="B23" s="0" t="s">
        <v>22</v>
      </c>
      <c r="C23" s="0" t="s">
        <v>22</v>
      </c>
      <c r="D23" s="0" t="n">
        <v>22</v>
      </c>
      <c r="E23" s="0" t="s">
        <v>126</v>
      </c>
      <c r="F23" s="0" t="s">
        <v>56</v>
      </c>
      <c r="G23" s="8" t="n">
        <v>260707.42</v>
      </c>
      <c r="H23" s="12" t="s">
        <v>22</v>
      </c>
      <c r="I23" s="12" t="s">
        <v>21</v>
      </c>
      <c r="O23" s="12" t="s">
        <v>21</v>
      </c>
      <c r="P23" s="8" t="n">
        <f aca="false">'AC+coolers'!C22-'AC+coolers'!B22</f>
        <v>355.167162579969</v>
      </c>
      <c r="Q23" s="8" t="n">
        <f aca="false">'AC+coolers'!D22-'AC+coolers'!C22</f>
        <v>424.831711679561</v>
      </c>
      <c r="R23" s="8" t="n">
        <f aca="false">'AC+coolers'!E22-'AC+coolers'!D22</f>
        <v>538.21077572019</v>
      </c>
      <c r="S23" s="8" t="n">
        <f aca="false">'AC+coolers'!F22-'AC+coolers'!E22</f>
        <v>577.784147779538</v>
      </c>
      <c r="T23" s="8" t="n">
        <f aca="false">'AC+coolers'!G22-'AC+coolers'!F22</f>
        <v>727.058392774369</v>
      </c>
      <c r="U23" s="8" t="n">
        <f aca="false">'AC+coolers'!H22-'AC+coolers'!G22</f>
        <v>869.667846682998</v>
      </c>
      <c r="V23" s="8" t="n">
        <f aca="false">'AC+coolers'!I22-'AC+coolers'!H22</f>
        <v>1040.24954676298</v>
      </c>
      <c r="W23" s="8" t="n">
        <f aca="false">'AC+coolers'!J22-'AC+coolers'!I22</f>
        <v>1244.29013176492</v>
      </c>
      <c r="X23" s="8" t="n">
        <f aca="false">'AC+coolers'!K22-'AC+coolers'!J22</f>
        <v>1488.35242161402</v>
      </c>
      <c r="Y23" s="8" t="n">
        <f aca="false">'AC+coolers'!L22-'AC+coolers'!K22</f>
        <v>1780.28650583465</v>
      </c>
      <c r="Z23" s="8" t="n">
        <f aca="false">'AC+coolers'!M22-'AC+coolers'!L22</f>
        <v>1049.19100678651</v>
      </c>
      <c r="AA23" s="8" t="n">
        <f aca="false">'AC+coolers'!N22-'AC+coolers'!M22</f>
        <v>4874.18</v>
      </c>
    </row>
    <row r="24" customFormat="false" ht="16.4" hidden="false" customHeight="false" outlineLevel="0" collapsed="false">
      <c r="A24" s="0" t="n">
        <v>23</v>
      </c>
      <c r="B24" s="0" t="s">
        <v>23</v>
      </c>
      <c r="C24" s="0" t="s">
        <v>23</v>
      </c>
      <c r="D24" s="0" t="n">
        <v>23</v>
      </c>
      <c r="E24" s="13" t="s">
        <v>127</v>
      </c>
      <c r="F24" s="13" t="s">
        <v>39</v>
      </c>
      <c r="G24" s="14" t="n">
        <v>940996.74</v>
      </c>
      <c r="H24" s="12" t="s">
        <v>23</v>
      </c>
      <c r="I24" s="12" t="s">
        <v>22</v>
      </c>
      <c r="O24" s="12" t="s">
        <v>22</v>
      </c>
      <c r="P24" s="8" t="n">
        <f aca="false">'AC+coolers'!C23-'AC+coolers'!B23</f>
        <v>31968.9669227896</v>
      </c>
      <c r="Q24" s="8" t="n">
        <f aca="false">'AC+coolers'!D23-'AC+coolers'!C23</f>
        <v>39358.5913127893</v>
      </c>
      <c r="R24" s="8" t="n">
        <f aca="false">'AC+coolers'!E23-'AC+coolers'!D23</f>
        <v>51075.8300339993</v>
      </c>
      <c r="S24" s="8" t="n">
        <f aca="false">'AC+coolers'!F23-'AC+coolers'!E23</f>
        <v>57037.500099875</v>
      </c>
      <c r="T24" s="8" t="n">
        <f aca="false">'AC+coolers'!G23-'AC+coolers'!F23</f>
        <v>73446.7152798555</v>
      </c>
      <c r="U24" s="8" t="n">
        <f aca="false">'AC+coolers'!H23-'AC+coolers'!G23</f>
        <v>90423.9182000341</v>
      </c>
      <c r="V24" s="8" t="n">
        <f aca="false">'AC+coolers'!I23-'AC+coolers'!H23</f>
        <v>111325.40034627</v>
      </c>
      <c r="W24" s="8" t="n">
        <f aca="false">'AC+coolers'!J23-'AC+coolers'!I23</f>
        <v>137058.258577571</v>
      </c>
      <c r="X24" s="8" t="n">
        <f aca="false">'AC+coolers'!K23-'AC+coolers'!J23</f>
        <v>168739.265126259</v>
      </c>
      <c r="Y24" s="8" t="n">
        <f aca="false">'AC+coolers'!L23-'AC+coolers'!K23</f>
        <v>207743.334045383</v>
      </c>
      <c r="Z24" s="8" t="n">
        <f aca="false">'AC+coolers'!M23-'AC+coolers'!L23</f>
        <v>137413.258324752</v>
      </c>
      <c r="AA24" s="8" t="n">
        <f aca="false">'AC+coolers'!N23-'AC+coolers'!M23</f>
        <v>574347.93</v>
      </c>
    </row>
    <row r="25" customFormat="false" ht="16.4" hidden="false" customHeight="false" outlineLevel="0" collapsed="false">
      <c r="A25" s="0" t="n">
        <v>24</v>
      </c>
      <c r="B25" s="0" t="s">
        <v>128</v>
      </c>
      <c r="C25" s="0" t="s">
        <v>128</v>
      </c>
      <c r="D25" s="0" t="n">
        <v>24</v>
      </c>
      <c r="E25" s="0" t="s">
        <v>129</v>
      </c>
      <c r="F25" s="0" t="s">
        <v>71</v>
      </c>
      <c r="G25" s="8" t="n">
        <v>7248.24</v>
      </c>
      <c r="H25" s="12" t="s">
        <v>128</v>
      </c>
      <c r="I25" s="12" t="s">
        <v>23</v>
      </c>
      <c r="O25" s="12" t="s">
        <v>23</v>
      </c>
      <c r="P25" s="8" t="n">
        <f aca="false">'AC+coolers'!C24-'AC+coolers'!B24</f>
        <v>108159.286658984</v>
      </c>
      <c r="Q25" s="8" t="n">
        <f aca="false">'AC+coolers'!D24-'AC+coolers'!C24</f>
        <v>129545.839270138</v>
      </c>
      <c r="R25" s="8" t="n">
        <f aca="false">'AC+coolers'!E24-'AC+coolers'!D24</f>
        <v>156292.221356461</v>
      </c>
      <c r="S25" s="8" t="n">
        <f aca="false">'AC+coolers'!F24-'AC+coolers'!E24</f>
        <v>184710.509004401</v>
      </c>
      <c r="T25" s="8" t="n">
        <f aca="false">'AC+coolers'!G24-'AC+coolers'!F24</f>
        <v>222588.351396377</v>
      </c>
      <c r="U25" s="8" t="n">
        <f aca="false">'AC+coolers'!H24-'AC+coolers'!G24</f>
        <v>266601.192409243</v>
      </c>
      <c r="V25" s="8" t="n">
        <f aca="false">'AC+coolers'!I24-'AC+coolers'!H24</f>
        <v>319316.780721446</v>
      </c>
      <c r="W25" s="8" t="n">
        <f aca="false">'AC+coolers'!J24-'AC+coolers'!I24</f>
        <v>382455.92800596</v>
      </c>
      <c r="X25" s="8" t="n">
        <f aca="false">'AC+coolers'!K24-'AC+coolers'!J24</f>
        <v>458079.705477199</v>
      </c>
      <c r="Y25" s="8" t="n">
        <f aca="false">'AC+coolers'!L24-'AC+coolers'!K24</f>
        <v>548656.724094339</v>
      </c>
      <c r="Z25" s="8" t="n">
        <f aca="false">'AC+coolers'!M24-'AC+coolers'!L24</f>
        <v>614290.648891035</v>
      </c>
      <c r="AA25" s="8" t="n">
        <f aca="false">'AC+coolers'!N24-'AC+coolers'!M24</f>
        <v>876027.42</v>
      </c>
    </row>
    <row r="26" customFormat="false" ht="16.4" hidden="false" customHeight="false" outlineLevel="0" collapsed="false">
      <c r="A26" s="0" t="n">
        <v>25</v>
      </c>
      <c r="B26" s="0" t="s">
        <v>25</v>
      </c>
      <c r="C26" s="0" t="s">
        <v>25</v>
      </c>
      <c r="D26" s="0" t="n">
        <v>25</v>
      </c>
      <c r="E26" s="13" t="s">
        <v>130</v>
      </c>
      <c r="F26" s="13" t="s">
        <v>44</v>
      </c>
      <c r="G26" s="14" t="n">
        <v>1602787.32</v>
      </c>
      <c r="H26" s="12" t="s">
        <v>25</v>
      </c>
      <c r="I26" s="12" t="s">
        <v>128</v>
      </c>
      <c r="O26" s="12" t="s">
        <v>128</v>
      </c>
      <c r="P26" s="8" t="n">
        <f aca="false">'AC+coolers'!C25-'AC+coolers'!B25</f>
        <v>1082.01478802413</v>
      </c>
      <c r="Q26" s="8" t="n">
        <f aca="false">'AC+coolers'!D25-'AC+coolers'!C25</f>
        <v>1536.69203773534</v>
      </c>
      <c r="R26" s="8" t="n">
        <f aca="false">'AC+coolers'!E25-'AC+coolers'!D25</f>
        <v>2054.61656636868</v>
      </c>
      <c r="S26" s="8" t="n">
        <f aca="false">'AC+coolers'!F25-'AC+coolers'!E25</f>
        <v>3227.33201965387</v>
      </c>
      <c r="T26" s="8" t="n">
        <f aca="false">'AC+coolers'!G25-'AC+coolers'!F25</f>
        <v>4401.97705961644</v>
      </c>
      <c r="U26" s="8" t="n">
        <f aca="false">'AC+coolers'!H25-'AC+coolers'!G25</f>
        <v>6251.74736304563</v>
      </c>
      <c r="V26" s="8" t="n">
        <f aca="false">'AC+coolers'!I25-'AC+coolers'!H25</f>
        <v>8878.81616874066</v>
      </c>
      <c r="W26" s="8" t="n">
        <f aca="false">'AC+coolers'!J25-'AC+coolers'!I25</f>
        <v>12609.8148214175</v>
      </c>
      <c r="X26" s="8" t="n">
        <f aca="false">'AC+coolers'!K25-'AC+coolers'!J25</f>
        <v>17908.6295749936</v>
      </c>
      <c r="Y26" s="8" t="n">
        <f aca="false">'AC+coolers'!L25-'AC+coolers'!K25</f>
        <v>25434.0779620017</v>
      </c>
      <c r="Z26" s="8" t="n">
        <f aca="false">'AC+coolers'!M25-'AC+coolers'!L25</f>
        <v>56921.2250305306</v>
      </c>
      <c r="AA26" s="8" t="n">
        <f aca="false">'AC+coolers'!N25-'AC+coolers'!M25</f>
        <v>7874.14000000001</v>
      </c>
    </row>
    <row r="27" customFormat="false" ht="16.4" hidden="false" customHeight="false" outlineLevel="0" collapsed="false">
      <c r="A27" s="0" t="n">
        <v>26</v>
      </c>
      <c r="B27" s="0" t="s">
        <v>26</v>
      </c>
      <c r="C27" s="0" t="s">
        <v>26</v>
      </c>
      <c r="D27" s="0" t="n">
        <v>26</v>
      </c>
      <c r="E27" s="13" t="s">
        <v>131</v>
      </c>
      <c r="F27" s="13" t="s">
        <v>47</v>
      </c>
      <c r="G27" s="14" t="n">
        <v>29.3</v>
      </c>
      <c r="H27" s="12" t="s">
        <v>26</v>
      </c>
      <c r="I27" s="12" t="s">
        <v>25</v>
      </c>
      <c r="O27" s="12" t="s">
        <v>25</v>
      </c>
      <c r="P27" s="8" t="n">
        <f aca="false">'AC+coolers'!C26-'AC+coolers'!B26</f>
        <v>200926.053923757</v>
      </c>
      <c r="Q27" s="8" t="n">
        <f aca="false">'AC+coolers'!D26-'AC+coolers'!C26</f>
        <v>248129.99387343</v>
      </c>
      <c r="R27" s="8" t="n">
        <f aca="false">'AC+coolers'!E26-'AC+coolers'!D26</f>
        <v>298478.952410232</v>
      </c>
      <c r="S27" s="8" t="n">
        <f aca="false">'AC+coolers'!F26-'AC+coolers'!E26</f>
        <v>386357.027690714</v>
      </c>
      <c r="T27" s="8" t="n">
        <f aca="false">'AC+coolers'!G26-'AC+coolers'!F26</f>
        <v>467313.464362387</v>
      </c>
      <c r="U27" s="8" t="n">
        <f aca="false">'AC+coolers'!H26-'AC+coolers'!G26</f>
        <v>577100.305235732</v>
      </c>
      <c r="V27" s="8" t="n">
        <f aca="false">'AC+coolers'!I26-'AC+coolers'!H26</f>
        <v>712679.577417631</v>
      </c>
      <c r="W27" s="8" t="n">
        <f aca="false">'AC+coolers'!J26-'AC+coolers'!I26</f>
        <v>880110.745844398</v>
      </c>
      <c r="X27" s="8" t="n">
        <f aca="false">'AC+coolers'!K26-'AC+coolers'!J26</f>
        <v>1086876.8370735</v>
      </c>
      <c r="Y27" s="8" t="n">
        <f aca="false">'AC+coolers'!L26-'AC+coolers'!K26</f>
        <v>1342218.87932315</v>
      </c>
      <c r="Z27" s="8" t="n">
        <f aca="false">'AC+coolers'!M26-'AC+coolers'!L26</f>
        <v>2054042.39305249</v>
      </c>
      <c r="AA27" s="8" t="n">
        <f aca="false">'AC+coolers'!N26-'AC+coolers'!M26</f>
        <v>1233149.45</v>
      </c>
    </row>
    <row r="28" customFormat="false" ht="16.4" hidden="false" customHeight="false" outlineLevel="0" collapsed="false">
      <c r="A28" s="0" t="n">
        <v>27</v>
      </c>
      <c r="B28" s="0" t="s">
        <v>27</v>
      </c>
      <c r="C28" s="0" t="s">
        <v>27</v>
      </c>
      <c r="D28" s="0" t="n">
        <v>27</v>
      </c>
      <c r="E28" s="0" t="s">
        <v>132</v>
      </c>
      <c r="F28" s="0" t="s">
        <v>74</v>
      </c>
      <c r="G28" s="8" t="n">
        <v>414793.91</v>
      </c>
      <c r="H28" s="12" t="s">
        <v>27</v>
      </c>
      <c r="I28" s="12" t="s">
        <v>26</v>
      </c>
      <c r="O28" s="12" t="s">
        <v>26</v>
      </c>
      <c r="P28" s="8" t="n">
        <f aca="false">'AC+coolers'!C27-'AC+coolers'!B27</f>
        <v>4.32663873541322</v>
      </c>
      <c r="Q28" s="8" t="n">
        <f aca="false">'AC+coolers'!D27-'AC+coolers'!C27</f>
        <v>6.36401715894034</v>
      </c>
      <c r="R28" s="8" t="n">
        <f aca="false">'AC+coolers'!E27-'AC+coolers'!D27</f>
        <v>9.42116260208899</v>
      </c>
      <c r="S28" s="8" t="n">
        <f aca="false">'AC+coolers'!F27-'AC+coolers'!E27</f>
        <v>13.7083119428518</v>
      </c>
      <c r="T28" s="8" t="n">
        <f aca="false">'AC+coolers'!G27-'AC+coolers'!F27</f>
        <v>20.2522586569168</v>
      </c>
      <c r="U28" s="8" t="n">
        <f aca="false">'AC+coolers'!H27-'AC+coolers'!G27</f>
        <v>29.7888798861155</v>
      </c>
      <c r="V28" s="8" t="n">
        <f aca="false">'AC+coolers'!I27-'AC+coolers'!H27</f>
        <v>43.816217237917</v>
      </c>
      <c r="W28" s="8" t="n">
        <f aca="false">'AC+coolers'!J27-'AC+coolers'!I27</f>
        <v>64.4489118214218</v>
      </c>
      <c r="X28" s="8" t="n">
        <f aca="false">'AC+coolers'!K27-'AC+coolers'!J27</f>
        <v>94.7973717679455</v>
      </c>
      <c r="Y28" s="8" t="n">
        <f aca="false">'AC+coolers'!L27-'AC+coolers'!K27</f>
        <v>139.436670692052</v>
      </c>
      <c r="Z28" s="8" t="n">
        <f aca="false">'AC+coolers'!M27-'AC+coolers'!L27</f>
        <v>193.311377994779</v>
      </c>
      <c r="AA28" s="8" t="n">
        <f aca="false">'AC+coolers'!N27-'AC+coolers'!M27</f>
        <v>329.14</v>
      </c>
    </row>
    <row r="29" customFormat="false" ht="16.4" hidden="false" customHeight="false" outlineLevel="0" collapsed="false">
      <c r="A29" s="0" t="n">
        <v>28</v>
      </c>
      <c r="B29" s="0" t="s">
        <v>133</v>
      </c>
      <c r="C29" s="0" t="s">
        <v>133</v>
      </c>
      <c r="D29" s="0" t="n">
        <v>28</v>
      </c>
      <c r="E29" s="0" t="s">
        <v>134</v>
      </c>
      <c r="F29" s="0" t="s">
        <v>70</v>
      </c>
      <c r="G29" s="8" t="n">
        <v>209742.17</v>
      </c>
      <c r="H29" s="12" t="s">
        <v>133</v>
      </c>
      <c r="I29" s="12" t="s">
        <v>27</v>
      </c>
      <c r="O29" s="12" t="s">
        <v>27</v>
      </c>
      <c r="P29" s="8" t="n">
        <f aca="false">'AC+coolers'!C28-'AC+coolers'!B28</f>
        <v>59101.3351421337</v>
      </c>
      <c r="Q29" s="8" t="n">
        <f aca="false">'AC+coolers'!D28-'AC+coolers'!C28</f>
        <v>79257.5715011842</v>
      </c>
      <c r="R29" s="8" t="n">
        <f aca="false">'AC+coolers'!E28-'AC+coolers'!D28</f>
        <v>103140.35879302</v>
      </c>
      <c r="S29" s="8" t="n">
        <f aca="false">'AC+coolers'!F28-'AC+coolers'!E28</f>
        <v>145684.668114631</v>
      </c>
      <c r="T29" s="8" t="n">
        <f aca="false">'AC+coolers'!G28-'AC+coolers'!F28</f>
        <v>191148.62071211</v>
      </c>
      <c r="U29" s="8" t="n">
        <f aca="false">'AC+coolers'!H28-'AC+coolers'!G28</f>
        <v>256338.971649429</v>
      </c>
      <c r="V29" s="8" t="n">
        <f aca="false">'AC+coolers'!I28-'AC+coolers'!H28</f>
        <v>343762.189554339</v>
      </c>
      <c r="W29" s="8" t="n">
        <f aca="false">'AC+coolers'!J28-'AC+coolers'!I28</f>
        <v>461000.690635547</v>
      </c>
      <c r="X29" s="8" t="n">
        <f aca="false">'AC+coolers'!K28-'AC+coolers'!J28</f>
        <v>618222.838998001</v>
      </c>
      <c r="Y29" s="8" t="n">
        <f aca="false">'AC+coolers'!L28-'AC+coolers'!K28</f>
        <v>829064.872184175</v>
      </c>
      <c r="Z29" s="8" t="n">
        <f aca="false">'AC+coolers'!M28-'AC+coolers'!L28</f>
        <v>1419617.37815177</v>
      </c>
      <c r="AA29" s="8" t="n">
        <f aca="false">'AC+coolers'!N28-'AC+coolers'!M28</f>
        <v>839123.86</v>
      </c>
    </row>
    <row r="30" customFormat="false" ht="16.4" hidden="false" customHeight="false" outlineLevel="0" collapsed="false">
      <c r="A30" s="0" t="n">
        <v>29</v>
      </c>
      <c r="B30" s="0" t="s">
        <v>29</v>
      </c>
      <c r="C30" s="0" t="s">
        <v>29</v>
      </c>
      <c r="D30" s="0" t="n">
        <v>29</v>
      </c>
      <c r="E30" s="13" t="s">
        <v>135</v>
      </c>
      <c r="F30" s="13" t="s">
        <v>52</v>
      </c>
      <c r="G30" s="14" t="n">
        <v>181</v>
      </c>
      <c r="H30" s="12" t="s">
        <v>29</v>
      </c>
      <c r="I30" s="12" t="s">
        <v>133</v>
      </c>
      <c r="O30" s="12" t="s">
        <v>133</v>
      </c>
      <c r="P30" s="8" t="n">
        <f aca="false">'AC+coolers'!C29-'AC+coolers'!B29</f>
        <v>30185.8419498975</v>
      </c>
      <c r="Q30" s="8" t="n">
        <f aca="false">'AC+coolers'!D29-'AC+coolers'!C29</f>
        <v>40524.8945577671</v>
      </c>
      <c r="R30" s="8" t="n">
        <f aca="false">'AC+coolers'!E29-'AC+coolers'!D29</f>
        <v>50901.0129614401</v>
      </c>
      <c r="S30" s="8" t="n">
        <f aca="false">'AC+coolers'!F29-'AC+coolers'!E29</f>
        <v>76543.9162045523</v>
      </c>
      <c r="T30" s="8" t="n">
        <f aca="false">'AC+coolers'!G29-'AC+coolers'!F29</f>
        <v>98056.7946750674</v>
      </c>
      <c r="U30" s="8" t="n">
        <f aca="false">'AC+coolers'!H29-'AC+coolers'!G29</f>
        <v>131642.551878365</v>
      </c>
      <c r="V30" s="8" t="n">
        <f aca="false">'AC+coolers'!I29-'AC+coolers'!H29</f>
        <v>176731.877912858</v>
      </c>
      <c r="W30" s="8" t="n">
        <f aca="false">'AC+coolers'!J29-'AC+coolers'!I29</f>
        <v>237264.8982032</v>
      </c>
      <c r="X30" s="8" t="n">
        <f aca="false">'AC+coolers'!K29-'AC+coolers'!J29</f>
        <v>318531.28357021</v>
      </c>
      <c r="Y30" s="8" t="n">
        <f aca="false">'AC+coolers'!L29-'AC+coolers'!K29</f>
        <v>427632.487490797</v>
      </c>
      <c r="Z30" s="8" t="n">
        <f aca="false">'AC+coolers'!M29-'AC+coolers'!L29</f>
        <v>935975.69006495</v>
      </c>
      <c r="AA30" s="8" t="n">
        <f aca="false">'AC+coolers'!N29-'AC+coolers'!M29</f>
        <v>33830.3300000001</v>
      </c>
    </row>
    <row r="31" customFormat="false" ht="16.4" hidden="false" customHeight="false" outlineLevel="0" collapsed="false">
      <c r="A31" s="0" t="n">
        <v>30</v>
      </c>
      <c r="B31" s="0" t="s">
        <v>136</v>
      </c>
      <c r="C31" s="0" t="s">
        <v>136</v>
      </c>
      <c r="D31" s="0" t="n">
        <v>30</v>
      </c>
      <c r="E31" s="13" t="s">
        <v>137</v>
      </c>
      <c r="F31" s="13" t="s">
        <v>45</v>
      </c>
      <c r="G31" s="14" t="n">
        <v>1474450.13</v>
      </c>
      <c r="H31" s="12" t="s">
        <v>136</v>
      </c>
      <c r="I31" s="12" t="s">
        <v>29</v>
      </c>
      <c r="O31" s="12" t="s">
        <v>29</v>
      </c>
      <c r="P31" s="8" t="n">
        <f aca="false">'AC+coolers'!C30-'AC+coolers'!B30</f>
        <v>26.1046839465362</v>
      </c>
      <c r="Q31" s="8" t="n">
        <f aca="false">'AC+coolers'!D30-'AC+coolers'!C30</f>
        <v>44.1072972430291</v>
      </c>
      <c r="R31" s="8" t="n">
        <f aca="false">'AC+coolers'!E30-'AC+coolers'!D30</f>
        <v>72.9349297768942</v>
      </c>
      <c r="S31" s="8" t="n">
        <f aca="false">'AC+coolers'!F30-'AC+coolers'!E30</f>
        <v>127.510076733162</v>
      </c>
      <c r="T31" s="8" t="n">
        <f aca="false">'AC+coolers'!G30-'AC+coolers'!F30</f>
        <v>212.758278203115</v>
      </c>
      <c r="U31" s="8" t="n">
        <f aca="false">'AC+coolers'!H30-'AC+coolers'!G30</f>
        <v>359.483096475564</v>
      </c>
      <c r="V31" s="8" t="n">
        <f aca="false">'AC+coolers'!I30-'AC+coolers'!H30</f>
        <v>607.393976596913</v>
      </c>
      <c r="W31" s="8" t="n">
        <f aca="false">'AC+coolers'!J30-'AC+coolers'!I30</f>
        <v>1026.27201785909</v>
      </c>
      <c r="X31" s="8" t="n">
        <f aca="false">'AC+coolers'!K30-'AC+coolers'!J30</f>
        <v>1734.02156626839</v>
      </c>
      <c r="Y31" s="8" t="n">
        <f aca="false">'AC+coolers'!L30-'AC+coolers'!K30</f>
        <v>2929.8575231121</v>
      </c>
      <c r="Z31" s="8" t="n">
        <f aca="false">'AC+coolers'!M30-'AC+coolers'!L30</f>
        <v>5943.77346475166</v>
      </c>
      <c r="AA31" s="8" t="n">
        <f aca="false">'AC+coolers'!N30-'AC+coolers'!M30</f>
        <v>5985.93</v>
      </c>
    </row>
    <row r="32" customFormat="false" ht="16.4" hidden="false" customHeight="false" outlineLevel="0" collapsed="false">
      <c r="A32" s="0" t="n">
        <v>31</v>
      </c>
      <c r="B32" s="0" t="s">
        <v>138</v>
      </c>
      <c r="C32" s="0" t="s">
        <v>138</v>
      </c>
      <c r="D32" s="0" t="n">
        <v>31</v>
      </c>
      <c r="E32" s="13" t="s">
        <v>139</v>
      </c>
      <c r="F32" s="13" t="s">
        <v>41</v>
      </c>
      <c r="G32" s="14" t="n">
        <v>115955.73</v>
      </c>
      <c r="H32" s="12" t="s">
        <v>138</v>
      </c>
      <c r="I32" s="12" t="s">
        <v>136</v>
      </c>
      <c r="O32" s="12" t="s">
        <v>136</v>
      </c>
      <c r="P32" s="8" t="n">
        <f aca="false">'AC+coolers'!C31-'AC+coolers'!B31</f>
        <v>198190.358691645</v>
      </c>
      <c r="Q32" s="8" t="n">
        <f aca="false">'AC+coolers'!D31-'AC+coolers'!C31</f>
        <v>255611.693074877</v>
      </c>
      <c r="R32" s="8" t="n">
        <f aca="false">'AC+coolers'!E31-'AC+coolers'!D31</f>
        <v>336591.904683575</v>
      </c>
      <c r="S32" s="8" t="n">
        <f aca="false">'AC+coolers'!F31-'AC+coolers'!E31</f>
        <v>418261.888372925</v>
      </c>
      <c r="T32" s="8" t="n">
        <f aca="false">'AC+coolers'!G31-'AC+coolers'!F31</f>
        <v>548372.031896965</v>
      </c>
      <c r="U32" s="8" t="n">
        <f aca="false">'AC+coolers'!H31-'AC+coolers'!G31</f>
        <v>707250.86948473</v>
      </c>
      <c r="V32" s="8" t="n">
        <f aca="false">'AC+coolers'!I31-'AC+coolers'!H31</f>
        <v>912161.385503412</v>
      </c>
      <c r="W32" s="8" t="n">
        <f aca="false">'AC+coolers'!J31-'AC+coolers'!I31</f>
        <v>1176440.25494096</v>
      </c>
      <c r="X32" s="8" t="n">
        <f aca="false">'AC+coolers'!K31-'AC+coolers'!J31</f>
        <v>1517288.16352211</v>
      </c>
      <c r="Y32" s="8" t="n">
        <f aca="false">'AC+coolers'!L31-'AC+coolers'!K31</f>
        <v>1956889.32055266</v>
      </c>
      <c r="Z32" s="8" t="n">
        <f aca="false">'AC+coolers'!M31-'AC+coolers'!L31</f>
        <v>2057956.42572624</v>
      </c>
      <c r="AA32" s="8" t="n">
        <f aca="false">'AC+coolers'!N31-'AC+coolers'!M31</f>
        <v>4276893.53</v>
      </c>
    </row>
    <row r="33" customFormat="false" ht="16.4" hidden="false" customHeight="false" outlineLevel="0" collapsed="false">
      <c r="A33" s="0" t="n">
        <v>32</v>
      </c>
      <c r="B33" s="0" t="s">
        <v>32</v>
      </c>
      <c r="C33" s="0" t="s">
        <v>32</v>
      </c>
      <c r="D33" s="0" t="n">
        <v>32</v>
      </c>
      <c r="E33" s="10" t="s">
        <v>140</v>
      </c>
      <c r="F33" s="10" t="s">
        <v>54</v>
      </c>
      <c r="G33" s="15" t="n">
        <v>88485.55</v>
      </c>
      <c r="H33" s="12" t="s">
        <v>32</v>
      </c>
      <c r="I33" s="12" t="s">
        <v>138</v>
      </c>
      <c r="O33" s="12" t="s">
        <v>138</v>
      </c>
      <c r="P33" s="8" t="n">
        <f aca="false">'AC+coolers'!C32-'AC+coolers'!B32</f>
        <v>14072.0830371622</v>
      </c>
      <c r="Q33" s="8" t="n">
        <f aca="false">'AC+coolers'!D32-'AC+coolers'!C32</f>
        <v>17203.0634725736</v>
      </c>
      <c r="R33" s="8" t="n">
        <f aca="false">'AC+coolers'!E32-'AC+coolers'!D32</f>
        <v>21434.0940631389</v>
      </c>
      <c r="S33" s="8" t="n">
        <f aca="false">'AC+coolers'!F32-'AC+coolers'!E32</f>
        <v>25306.4924744181</v>
      </c>
      <c r="T33" s="8" t="n">
        <f aca="false">'AC+coolers'!G32-'AC+coolers'!F32</f>
        <v>31430.2618640132</v>
      </c>
      <c r="U33" s="8" t="n">
        <f aca="false">'AC+coolers'!H32-'AC+coolers'!G32</f>
        <v>38423.3654945279</v>
      </c>
      <c r="V33" s="8" t="n">
        <f aca="false">'AC+coolers'!I32-'AC+coolers'!H32</f>
        <v>46972.4058397512</v>
      </c>
      <c r="W33" s="8" t="n">
        <f aca="false">'AC+coolers'!J32-'AC+coolers'!I32</f>
        <v>57423.572401239</v>
      </c>
      <c r="X33" s="8" t="n">
        <f aca="false">'AC+coolers'!K32-'AC+coolers'!J32</f>
        <v>70200.0804167836</v>
      </c>
      <c r="Y33" s="8" t="n">
        <f aca="false">'AC+coolers'!L32-'AC+coolers'!K32</f>
        <v>85819.3087690337</v>
      </c>
      <c r="Z33" s="8" t="n">
        <f aca="false">'AC+coolers'!M32-'AC+coolers'!L32</f>
        <v>87113.3927402333</v>
      </c>
      <c r="AA33" s="8" t="n">
        <f aca="false">'AC+coolers'!N32-'AC+coolers'!M32</f>
        <v>165981.39</v>
      </c>
    </row>
    <row r="34" customFormat="false" ht="16.4" hidden="false" customHeight="false" outlineLevel="0" collapsed="false">
      <c r="E34" s="0" t="s">
        <v>102</v>
      </c>
      <c r="G34" s="8" t="n">
        <v>13796036.41</v>
      </c>
      <c r="I34" s="12" t="s">
        <v>32</v>
      </c>
      <c r="O34" s="12" t="s">
        <v>32</v>
      </c>
      <c r="P34" s="8" t="n">
        <f aca="false">'AC+coolers'!C33-'AC+coolers'!B33</f>
        <v>12744.7798302983</v>
      </c>
      <c r="Q34" s="8" t="n">
        <f aca="false">'AC+coolers'!D33-'AC+coolers'!C33</f>
        <v>17690.71882155</v>
      </c>
      <c r="R34" s="8" t="n">
        <f aca="false">'AC+coolers'!E33-'AC+coolers'!D33</f>
        <v>25209.0856164039</v>
      </c>
      <c r="S34" s="8" t="n">
        <f aca="false">'AC+coolers'!F33-'AC+coolers'!E33</f>
        <v>33432.6352809622</v>
      </c>
      <c r="T34" s="8" t="n">
        <f aca="false">'AC+coolers'!G33-'AC+coolers'!F33</f>
        <v>47313.4816255998</v>
      </c>
      <c r="U34" s="8" t="n">
        <f aca="false">'AC+coolers'!H33-'AC+coolers'!G33</f>
        <v>65674.6927802538</v>
      </c>
      <c r="V34" s="8" t="n">
        <f aca="false">'AC+coolers'!I33-'AC+coolers'!H33</f>
        <v>91161.4432840006</v>
      </c>
      <c r="W34" s="8" t="n">
        <f aca="false">'AC+coolers'!J33-'AC+coolers'!I33</f>
        <v>126538.98160481</v>
      </c>
      <c r="X34" s="8" t="n">
        <f aca="false">'AC+coolers'!K33-'AC+coolers'!J33</f>
        <v>175645.681866827</v>
      </c>
      <c r="Y34" s="8" t="n">
        <f aca="false">'AC+coolers'!L33-'AC+coolers'!K33</f>
        <v>243809.49781004</v>
      </c>
      <c r="Z34" s="8" t="n">
        <f aca="false">'AC+coolers'!M33-'AC+coolers'!L33</f>
        <v>260357.745747508</v>
      </c>
      <c r="AA34" s="8" t="n">
        <f aca="false">'AC+coolers'!N33-'AC+coolers'!M33</f>
        <v>650409.29</v>
      </c>
    </row>
  </sheetData>
  <autoFilter ref="D2:H34">
    <sortState ref="D3:H34">
      <sortCondition ref="A3:A34" customList=""/>
    </sortState>
  </autoFilter>
  <conditionalFormatting sqref="P3:AA34">
    <cfRule type="cellIs" priority="2" operator="lessThan" aboveAverage="0" equalAverage="0" bottom="0" percent="0" rank="0" text="" dxfId="5">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LibreOffice/24.2.7.2$Linux_X86_64 LibreOffice_project/420$Build-2</Application>
  <AppVersion>15.0000</AppVersion>
  <Company>IFP Energies Nouvelles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2026-03-05T09:46:02Z</dcterms:created>
  <dc:creator>CORBERAND Julie</dc:creator>
  <dc:description/>
  <dc:language>en-GB</dc:language>
  <cp:lastModifiedBy/>
  <dcterms:modified xsi:type="dcterms:W3CDTF">2026-03-17T12:06:42Z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