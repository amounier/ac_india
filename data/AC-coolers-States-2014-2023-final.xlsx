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ifpenfr-my.sharepoint.com/personal/julie_corberand_ifpen_fr/Documents/Bureau/Thèse/2-Chapitre 2/Données/0_Clean AM/"/>
    </mc:Choice>
  </mc:AlternateContent>
  <xr:revisionPtr revIDLastSave="273" documentId="8_{5D4CA822-E61A-48D6-AF30-85146CE76A8B}" xr6:coauthVersionLast="47" xr6:coauthVersionMax="47" xr10:uidLastSave="{5905C049-F5FA-4857-9B92-5D8592F8ACC9}"/>
  <bookViews>
    <workbookView xWindow="22932" yWindow="-10308" windowWidth="30936" windowHeight="16776" xr2:uid="{50002E49-2D74-4F6E-A974-A0FEDFFF5B98}"/>
  </bookViews>
  <sheets>
    <sheet name="AC+coolers" sheetId="8" r:id="rId1"/>
    <sheet name="pct AC 2014" sheetId="2" r:id="rId2"/>
    <sheet name="Note" sheetId="6" r:id="rId3"/>
    <sheet name="vérif+2014" sheetId="7" r:id="rId4"/>
  </sheets>
  <definedNames>
    <definedName name="_xlnm._FilterDatabase" localSheetId="0" hidden="1">'AC+coolers'!$A$1:$N$33</definedName>
    <definedName name="_xlnm._FilterDatabase" localSheetId="3" hidden="1">'vérif+2014'!$D$2:$H$34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4" i="7" l="1"/>
  <c r="Z34" i="7"/>
  <c r="Y34" i="7"/>
  <c r="X34" i="7"/>
  <c r="W34" i="7"/>
  <c r="V34" i="7"/>
  <c r="U34" i="7"/>
  <c r="T34" i="7"/>
  <c r="S34" i="7"/>
  <c r="R34" i="7"/>
  <c r="Q34" i="7"/>
  <c r="P34" i="7"/>
  <c r="AA33" i="7"/>
  <c r="Z33" i="7"/>
  <c r="Y33" i="7"/>
  <c r="X33" i="7"/>
  <c r="W33" i="7"/>
  <c r="V33" i="7"/>
  <c r="U33" i="7"/>
  <c r="T33" i="7"/>
  <c r="S33" i="7"/>
  <c r="R33" i="7"/>
  <c r="Q33" i="7"/>
  <c r="P33" i="7"/>
  <c r="AA32" i="7"/>
  <c r="Z32" i="7"/>
  <c r="Y32" i="7"/>
  <c r="X32" i="7"/>
  <c r="W32" i="7"/>
  <c r="V32" i="7"/>
  <c r="U32" i="7"/>
  <c r="T32" i="7"/>
  <c r="S32" i="7"/>
  <c r="R32" i="7"/>
  <c r="Q32" i="7"/>
  <c r="P32" i="7"/>
  <c r="AA31" i="7"/>
  <c r="Z31" i="7"/>
  <c r="Y31" i="7"/>
  <c r="X31" i="7"/>
  <c r="W31" i="7"/>
  <c r="V31" i="7"/>
  <c r="U31" i="7"/>
  <c r="T31" i="7"/>
  <c r="S31" i="7"/>
  <c r="R31" i="7"/>
  <c r="Q31" i="7"/>
  <c r="P31" i="7"/>
  <c r="AA30" i="7"/>
  <c r="Z30" i="7"/>
  <c r="Y30" i="7"/>
  <c r="X30" i="7"/>
  <c r="W30" i="7"/>
  <c r="V30" i="7"/>
  <c r="U30" i="7"/>
  <c r="T30" i="7"/>
  <c r="S30" i="7"/>
  <c r="R30" i="7"/>
  <c r="Q30" i="7"/>
  <c r="P30" i="7"/>
  <c r="AA29" i="7"/>
  <c r="Z29" i="7"/>
  <c r="Y29" i="7"/>
  <c r="X29" i="7"/>
  <c r="W29" i="7"/>
  <c r="V29" i="7"/>
  <c r="U29" i="7"/>
  <c r="T29" i="7"/>
  <c r="S29" i="7"/>
  <c r="R29" i="7"/>
  <c r="Q29" i="7"/>
  <c r="P29" i="7"/>
  <c r="AA28" i="7"/>
  <c r="Z28" i="7"/>
  <c r="Y28" i="7"/>
  <c r="X28" i="7"/>
  <c r="W28" i="7"/>
  <c r="V28" i="7"/>
  <c r="U28" i="7"/>
  <c r="T28" i="7"/>
  <c r="S28" i="7"/>
  <c r="R28" i="7"/>
  <c r="Q28" i="7"/>
  <c r="P28" i="7"/>
  <c r="AA27" i="7"/>
  <c r="Z27" i="7"/>
  <c r="Y27" i="7"/>
  <c r="X27" i="7"/>
  <c r="W27" i="7"/>
  <c r="V27" i="7"/>
  <c r="U27" i="7"/>
  <c r="T27" i="7"/>
  <c r="S27" i="7"/>
  <c r="R27" i="7"/>
  <c r="Q27" i="7"/>
  <c r="P27" i="7"/>
  <c r="AA26" i="7"/>
  <c r="Z26" i="7"/>
  <c r="Y26" i="7"/>
  <c r="X26" i="7"/>
  <c r="W26" i="7"/>
  <c r="V26" i="7"/>
  <c r="U26" i="7"/>
  <c r="T26" i="7"/>
  <c r="S26" i="7"/>
  <c r="R26" i="7"/>
  <c r="Q26" i="7"/>
  <c r="P26" i="7"/>
  <c r="AA25" i="7"/>
  <c r="Z25" i="7"/>
  <c r="Y25" i="7"/>
  <c r="X25" i="7"/>
  <c r="W25" i="7"/>
  <c r="V25" i="7"/>
  <c r="U25" i="7"/>
  <c r="T25" i="7"/>
  <c r="S25" i="7"/>
  <c r="R25" i="7"/>
  <c r="Q25" i="7"/>
  <c r="P25" i="7"/>
  <c r="AA24" i="7"/>
  <c r="Z24" i="7"/>
  <c r="Y24" i="7"/>
  <c r="X24" i="7"/>
  <c r="W24" i="7"/>
  <c r="V24" i="7"/>
  <c r="U24" i="7"/>
  <c r="T24" i="7"/>
  <c r="S24" i="7"/>
  <c r="R24" i="7"/>
  <c r="Q24" i="7"/>
  <c r="P24" i="7"/>
  <c r="AA23" i="7"/>
  <c r="Z23" i="7"/>
  <c r="Y23" i="7"/>
  <c r="X23" i="7"/>
  <c r="W23" i="7"/>
  <c r="V23" i="7"/>
  <c r="U23" i="7"/>
  <c r="T23" i="7"/>
  <c r="S23" i="7"/>
  <c r="R23" i="7"/>
  <c r="Q23" i="7"/>
  <c r="P23" i="7"/>
  <c r="AA22" i="7"/>
  <c r="Z22" i="7"/>
  <c r="Y22" i="7"/>
  <c r="X22" i="7"/>
  <c r="W22" i="7"/>
  <c r="V22" i="7"/>
  <c r="U22" i="7"/>
  <c r="T22" i="7"/>
  <c r="S22" i="7"/>
  <c r="R22" i="7"/>
  <c r="Q22" i="7"/>
  <c r="P22" i="7"/>
  <c r="AA21" i="7"/>
  <c r="Z21" i="7"/>
  <c r="Y21" i="7"/>
  <c r="X21" i="7"/>
  <c r="W21" i="7"/>
  <c r="V21" i="7"/>
  <c r="U21" i="7"/>
  <c r="T21" i="7"/>
  <c r="S21" i="7"/>
  <c r="R21" i="7"/>
  <c r="Q21" i="7"/>
  <c r="P21" i="7"/>
  <c r="AA20" i="7"/>
  <c r="Z20" i="7"/>
  <c r="Y20" i="7"/>
  <c r="X20" i="7"/>
  <c r="W20" i="7"/>
  <c r="V20" i="7"/>
  <c r="U20" i="7"/>
  <c r="T20" i="7"/>
  <c r="S20" i="7"/>
  <c r="R20" i="7"/>
  <c r="Q20" i="7"/>
  <c r="P20" i="7"/>
  <c r="AA19" i="7"/>
  <c r="Z19" i="7"/>
  <c r="Y19" i="7"/>
  <c r="X19" i="7"/>
  <c r="W19" i="7"/>
  <c r="V19" i="7"/>
  <c r="U19" i="7"/>
  <c r="T19" i="7"/>
  <c r="S19" i="7"/>
  <c r="R19" i="7"/>
  <c r="Q19" i="7"/>
  <c r="P19" i="7"/>
  <c r="AA18" i="7"/>
  <c r="Z18" i="7"/>
  <c r="Y18" i="7"/>
  <c r="X18" i="7"/>
  <c r="W18" i="7"/>
  <c r="V18" i="7"/>
  <c r="U18" i="7"/>
  <c r="T18" i="7"/>
  <c r="S18" i="7"/>
  <c r="R18" i="7"/>
  <c r="Q18" i="7"/>
  <c r="P18" i="7"/>
  <c r="AA17" i="7"/>
  <c r="Z17" i="7"/>
  <c r="Y17" i="7"/>
  <c r="X17" i="7"/>
  <c r="W17" i="7"/>
  <c r="V17" i="7"/>
  <c r="U17" i="7"/>
  <c r="T17" i="7"/>
  <c r="S17" i="7"/>
  <c r="R17" i="7"/>
  <c r="Q17" i="7"/>
  <c r="P17" i="7"/>
  <c r="AA16" i="7"/>
  <c r="Z16" i="7"/>
  <c r="Y16" i="7"/>
  <c r="X16" i="7"/>
  <c r="W16" i="7"/>
  <c r="V16" i="7"/>
  <c r="U16" i="7"/>
  <c r="T16" i="7"/>
  <c r="S16" i="7"/>
  <c r="R16" i="7"/>
  <c r="Q16" i="7"/>
  <c r="P16" i="7"/>
  <c r="AA15" i="7"/>
  <c r="Z15" i="7"/>
  <c r="Y15" i="7"/>
  <c r="X15" i="7"/>
  <c r="W15" i="7"/>
  <c r="V15" i="7"/>
  <c r="U15" i="7"/>
  <c r="T15" i="7"/>
  <c r="S15" i="7"/>
  <c r="R15" i="7"/>
  <c r="Q15" i="7"/>
  <c r="P15" i="7"/>
  <c r="AA14" i="7"/>
  <c r="Z14" i="7"/>
  <c r="Y14" i="7"/>
  <c r="X14" i="7"/>
  <c r="W14" i="7"/>
  <c r="V14" i="7"/>
  <c r="U14" i="7"/>
  <c r="T14" i="7"/>
  <c r="S14" i="7"/>
  <c r="R14" i="7"/>
  <c r="Q14" i="7"/>
  <c r="P14" i="7"/>
  <c r="AA13" i="7"/>
  <c r="Z13" i="7"/>
  <c r="Y13" i="7"/>
  <c r="X13" i="7"/>
  <c r="W13" i="7"/>
  <c r="V13" i="7"/>
  <c r="U13" i="7"/>
  <c r="T13" i="7"/>
  <c r="S13" i="7"/>
  <c r="R13" i="7"/>
  <c r="Q13" i="7"/>
  <c r="P13" i="7"/>
  <c r="AA12" i="7"/>
  <c r="Z12" i="7"/>
  <c r="Y12" i="7"/>
  <c r="X12" i="7"/>
  <c r="W12" i="7"/>
  <c r="V12" i="7"/>
  <c r="U12" i="7"/>
  <c r="T12" i="7"/>
  <c r="S12" i="7"/>
  <c r="R12" i="7"/>
  <c r="Q12" i="7"/>
  <c r="P12" i="7"/>
  <c r="AA11" i="7"/>
  <c r="Z11" i="7"/>
  <c r="Y11" i="7"/>
  <c r="X11" i="7"/>
  <c r="W11" i="7"/>
  <c r="V11" i="7"/>
  <c r="U11" i="7"/>
  <c r="T11" i="7"/>
  <c r="S11" i="7"/>
  <c r="R11" i="7"/>
  <c r="Q11" i="7"/>
  <c r="P11" i="7"/>
  <c r="AA10" i="7"/>
  <c r="Z10" i="7"/>
  <c r="Y10" i="7"/>
  <c r="X10" i="7"/>
  <c r="W10" i="7"/>
  <c r="V10" i="7"/>
  <c r="U10" i="7"/>
  <c r="T10" i="7"/>
  <c r="S10" i="7"/>
  <c r="R10" i="7"/>
  <c r="Q10" i="7"/>
  <c r="P10" i="7"/>
  <c r="AA9" i="7"/>
  <c r="Z9" i="7"/>
  <c r="Y9" i="7"/>
  <c r="X9" i="7"/>
  <c r="W9" i="7"/>
  <c r="V9" i="7"/>
  <c r="U9" i="7"/>
  <c r="T9" i="7"/>
  <c r="S9" i="7"/>
  <c r="R9" i="7"/>
  <c r="Q9" i="7"/>
  <c r="P9" i="7"/>
  <c r="AA8" i="7"/>
  <c r="Z8" i="7"/>
  <c r="Y8" i="7"/>
  <c r="X8" i="7"/>
  <c r="W8" i="7"/>
  <c r="V8" i="7"/>
  <c r="U8" i="7"/>
  <c r="T8" i="7"/>
  <c r="S8" i="7"/>
  <c r="R8" i="7"/>
  <c r="Q8" i="7"/>
  <c r="P8" i="7"/>
  <c r="AA7" i="7"/>
  <c r="Z7" i="7"/>
  <c r="Y7" i="7"/>
  <c r="X7" i="7"/>
  <c r="W7" i="7"/>
  <c r="V7" i="7"/>
  <c r="U7" i="7"/>
  <c r="T7" i="7"/>
  <c r="S7" i="7"/>
  <c r="R7" i="7"/>
  <c r="Q7" i="7"/>
  <c r="P7" i="7"/>
  <c r="AA6" i="7"/>
  <c r="Z6" i="7"/>
  <c r="Y6" i="7"/>
  <c r="X6" i="7"/>
  <c r="W6" i="7"/>
  <c r="V6" i="7"/>
  <c r="U6" i="7"/>
  <c r="T6" i="7"/>
  <c r="S6" i="7"/>
  <c r="R6" i="7"/>
  <c r="Q6" i="7"/>
  <c r="P6" i="7"/>
  <c r="AA5" i="7"/>
  <c r="Z5" i="7"/>
  <c r="Y5" i="7"/>
  <c r="X5" i="7"/>
  <c r="W5" i="7"/>
  <c r="V5" i="7"/>
  <c r="U5" i="7"/>
  <c r="T5" i="7"/>
  <c r="S5" i="7"/>
  <c r="R5" i="7"/>
  <c r="Q5" i="7"/>
  <c r="P5" i="7"/>
  <c r="AA4" i="7"/>
  <c r="Z4" i="7"/>
  <c r="Y4" i="7"/>
  <c r="X4" i="7"/>
  <c r="W4" i="7"/>
  <c r="V4" i="7"/>
  <c r="U4" i="7"/>
  <c r="T4" i="7"/>
  <c r="S4" i="7"/>
  <c r="R4" i="7"/>
  <c r="Q4" i="7"/>
  <c r="P4" i="7"/>
  <c r="AA3" i="7"/>
  <c r="Z3" i="7"/>
  <c r="Y3" i="7"/>
  <c r="X3" i="7"/>
  <c r="W3" i="7"/>
  <c r="V3" i="7"/>
  <c r="U3" i="7"/>
  <c r="T3" i="7"/>
  <c r="S3" i="7"/>
  <c r="R3" i="7"/>
  <c r="Q3" i="7"/>
  <c r="P3" i="7"/>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 i="2"/>
</calcChain>
</file>

<file path=xl/sharedStrings.xml><?xml version="1.0" encoding="utf-8"?>
<sst xmlns="http://schemas.openxmlformats.org/spreadsheetml/2006/main" count="365" uniqueCount="141">
  <si>
    <t>01</t>
  </si>
  <si>
    <t>02</t>
  </si>
  <si>
    <t>03</t>
  </si>
  <si>
    <t>04</t>
  </si>
  <si>
    <t>05</t>
  </si>
  <si>
    <t>06</t>
  </si>
  <si>
    <t>07</t>
  </si>
  <si>
    <t>08</t>
  </si>
  <si>
    <t>09</t>
  </si>
  <si>
    <t>10</t>
  </si>
  <si>
    <t>11</t>
  </si>
  <si>
    <t>12</t>
  </si>
  <si>
    <t>13</t>
  </si>
  <si>
    <t>14</t>
  </si>
  <si>
    <t>15</t>
  </si>
  <si>
    <t>16</t>
  </si>
  <si>
    <t>17</t>
  </si>
  <si>
    <t>19</t>
  </si>
  <si>
    <t>20</t>
  </si>
  <si>
    <t>21</t>
  </si>
  <si>
    <t>22</t>
  </si>
  <si>
    <t>23</t>
  </si>
  <si>
    <t>24</t>
  </si>
  <si>
    <t>25</t>
  </si>
  <si>
    <t>26</t>
  </si>
  <si>
    <t>27</t>
  </si>
  <si>
    <t>28</t>
  </si>
  <si>
    <t>29</t>
  </si>
  <si>
    <t>30</t>
  </si>
  <si>
    <t>31</t>
  </si>
  <si>
    <t>32</t>
  </si>
  <si>
    <t>33</t>
  </si>
  <si>
    <t>34</t>
  </si>
  <si>
    <t>35</t>
  </si>
  <si>
    <t>States</t>
  </si>
  <si>
    <t>Air coolers</t>
  </si>
  <si>
    <t>Air conditionner</t>
  </si>
  <si>
    <t>Jammu &amp; Kashmir</t>
  </si>
  <si>
    <t>Himachal Pradesh</t>
  </si>
  <si>
    <t>Punjab</t>
  </si>
  <si>
    <t>Chandigarh(U.T.)</t>
  </si>
  <si>
    <t>Uttrakhand</t>
  </si>
  <si>
    <t>Haryana</t>
  </si>
  <si>
    <t>Delhi</t>
  </si>
  <si>
    <t>Rajasthan</t>
  </si>
  <si>
    <t>Uttar Prdesh</t>
  </si>
  <si>
    <t>Bihar</t>
  </si>
  <si>
    <t>Sikkim</t>
  </si>
  <si>
    <t>Arunachal Pradesh</t>
  </si>
  <si>
    <t>Nagaland</t>
  </si>
  <si>
    <t>Manipur</t>
  </si>
  <si>
    <t>Mizoram</t>
  </si>
  <si>
    <t>Tripura</t>
  </si>
  <si>
    <t>Meghalaya</t>
  </si>
  <si>
    <t>Assam</t>
  </si>
  <si>
    <t>West Bengal</t>
  </si>
  <si>
    <t>Jharkhand</t>
  </si>
  <si>
    <t>Odisha</t>
  </si>
  <si>
    <t>Chattisgarh</t>
  </si>
  <si>
    <t>Madhya Pradesh</t>
  </si>
  <si>
    <t>Gujarat</t>
  </si>
  <si>
    <t>Dadra &amp; Nagar Haveli and Daman &amp; Diu</t>
  </si>
  <si>
    <t>Maharashtra</t>
  </si>
  <si>
    <t>Andhra Pradesh</t>
  </si>
  <si>
    <t>Karnataka</t>
  </si>
  <si>
    <t>Goa</t>
  </si>
  <si>
    <t>Lakshadweep (U.T.)</t>
  </si>
  <si>
    <t>Kerala</t>
  </si>
  <si>
    <t>Tamilnadu</t>
  </si>
  <si>
    <t>Puducherry (U.T.)</t>
  </si>
  <si>
    <t>A and N Islands (U.T.)</t>
  </si>
  <si>
    <t>Telangana</t>
  </si>
  <si>
    <t>36</t>
  </si>
  <si>
    <t>Ladakh (U.T.)</t>
  </si>
  <si>
    <t>Total général</t>
  </si>
  <si>
    <t>TOTAL (cooler + AC)</t>
  </si>
  <si>
    <t>Chandigarh</t>
  </si>
  <si>
    <t>données conso HCES</t>
  </si>
  <si>
    <t>ratio AC for Total in 2014</t>
  </si>
  <si>
    <t>2010-2011</t>
  </si>
  <si>
    <t>les données de l'enquete de consommation sont très proches de celle de la Table 22 - meme ordres de grandeurs)</t>
  </si>
  <si>
    <t>Commentaires</t>
  </si>
  <si>
    <t>1) Vérification des données de 2023 grace à la Table 22 (qui donne % de ménage avec AC + coolers installés )  - utilisation du nombre de ménage par state calculé dans HCES 2023 (via pondération)</t>
  </si>
  <si>
    <t>hyp d'apres Table 22 (% x nb hh)</t>
  </si>
  <si>
    <t>Sources:</t>
  </si>
  <si>
    <t>2) pour l'année 2014, j'ai les données d'AC et de air cooler séparées (que j'ai sommées pour continuité avec les autres enquêtes, mais peut permettre de retrouver le pourcentage d'AC "seul"  en faisant hypothèses sur raztio AC/coolers)</t>
  </si>
  <si>
    <t xml:space="preserve">3) Données Inde: </t>
  </si>
  <si>
    <t>India</t>
  </si>
  <si>
    <t>Données AC + coolers! (pas juste AC) - et pas de fan</t>
  </si>
  <si>
    <t>voir onglet pct AC 2014</t>
  </si>
  <si>
    <t>données ne mathcent pas celles des années suivantes</t>
  </si>
  <si>
    <t>HCES2014</t>
  </si>
  <si>
    <t>HCES2022</t>
  </si>
  <si>
    <t>HCES2023</t>
  </si>
  <si>
    <t>les données proviennent d'énquete de consommation faites par le gouvernement indien (site : https://microdata.gov.in/NADA/index.php/home); dans la partie Household consumption expenditure (HCES), la doc est sur le site + d'une année sur l'autre, les questionnaires changent</t>
  </si>
  <si>
    <t>st</t>
  </si>
  <si>
    <t>st_name</t>
  </si>
  <si>
    <t>JAK</t>
  </si>
  <si>
    <t>HIM</t>
  </si>
  <si>
    <t>PUN</t>
  </si>
  <si>
    <t>CHN</t>
  </si>
  <si>
    <t>UTA</t>
  </si>
  <si>
    <t>HAR</t>
  </si>
  <si>
    <t>DEL</t>
  </si>
  <si>
    <t>RAJ</t>
  </si>
  <si>
    <t>UTP</t>
  </si>
  <si>
    <t>BHR</t>
  </si>
  <si>
    <t>SKM</t>
  </si>
  <si>
    <t>ARN</t>
  </si>
  <si>
    <t>NAG</t>
  </si>
  <si>
    <t>MAN</t>
  </si>
  <si>
    <t>MIZ</t>
  </si>
  <si>
    <t>TRI</t>
  </si>
  <si>
    <t>MEG</t>
  </si>
  <si>
    <t>WEB</t>
  </si>
  <si>
    <t>JHR</t>
  </si>
  <si>
    <t>ORI</t>
  </si>
  <si>
    <t>CHG</t>
  </si>
  <si>
    <t>MAP</t>
  </si>
  <si>
    <t>GUJ</t>
  </si>
  <si>
    <t>MAH</t>
  </si>
  <si>
    <t>ANP</t>
  </si>
  <si>
    <t>KTK</t>
  </si>
  <si>
    <t>GOA</t>
  </si>
  <si>
    <t>KRL</t>
  </si>
  <si>
    <t>TMN</t>
  </si>
  <si>
    <t>PON</t>
  </si>
  <si>
    <t>TLN</t>
  </si>
  <si>
    <t>Total</t>
  </si>
  <si>
    <t xml:space="preserve">Problème ASSAM : pas de données en 2014, regardé AC 2014/AC 2022 pour états du NE, pris 18% de données de 2022 (ou je supprime juste la ligne?) </t>
  </si>
  <si>
    <t xml:space="preserve">Problème AP et JK : données AC 2022 supérieures à 2023 </t>
  </si>
  <si>
    <t>Problème Delhi: données 2014 supérieures à 2022</t>
  </si>
  <si>
    <t>Vérif Evolution</t>
  </si>
  <si>
    <t>Chhattisgarh</t>
  </si>
  <si>
    <t>Puducherry</t>
  </si>
  <si>
    <t>Tamil Nadu</t>
  </si>
  <si>
    <t>Uttar Pradesh</t>
  </si>
  <si>
    <t>Uttarakhand</t>
  </si>
  <si>
    <t>4) IMPORTANT, je n'ai les données que pour 2014, 2022 et 2023 --&gt; donc régression  pour avoir les données manquantes</t>
  </si>
  <si>
    <t>f(X) = alpha + beta exp(X)  avec X l'année --&gt; testé sur seulement trois années (2014, 2022 et 2023) donc données extrapolées à prendre avec des pincettes (à utiliser?)</t>
  </si>
  <si>
    <t>5) les problèmes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</si>
</sst>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0.0%"/>
  </numFmts>
  <fonts count="4"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Calibri"/>
      <family val="2"/>
    </font>
  </fonts>
  <fills count="5">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3" tint="0.89999084444715716"/>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6">
    <xf numFmtId="0" fontId="0" fillId="0" borderId="0" xfId="0"/>
    <xf numFmtId="0" fontId="2" fillId="0" borderId="0" xfId="0" applyFont="1"/>
    <xf numFmtId="164" fontId="0" fillId="0" borderId="0" xfId="1" applyNumberFormat="1" applyFont="1"/>
    <xf numFmtId="164" fontId="0" fillId="0" borderId="0" xfId="0" applyNumberFormat="1"/>
    <xf numFmtId="0" fontId="0" fillId="2" borderId="0" xfId="0" applyFill="1"/>
    <xf numFmtId="165" fontId="0" fillId="0" borderId="0" xfId="2" applyNumberFormat="1" applyFont="1"/>
    <xf numFmtId="164" fontId="2" fillId="0" borderId="0" xfId="1" applyNumberFormat="1" applyFont="1"/>
    <xf numFmtId="164" fontId="0" fillId="2" borderId="0" xfId="0" applyNumberFormat="1" applyFill="1"/>
    <xf numFmtId="0" fontId="0" fillId="3" borderId="0" xfId="0" applyFill="1"/>
    <xf numFmtId="164" fontId="0" fillId="3" borderId="0" xfId="0" applyNumberFormat="1" applyFill="1"/>
    <xf numFmtId="164" fontId="2" fillId="0" borderId="0" xfId="0" applyNumberFormat="1" applyFont="1"/>
    <xf numFmtId="164" fontId="2" fillId="2" borderId="0" xfId="0" applyNumberFormat="1" applyFont="1" applyFill="1"/>
    <xf numFmtId="164" fontId="0" fillId="0" borderId="0" xfId="1" applyNumberFormat="1" applyFont="1" applyFill="1"/>
    <xf numFmtId="0" fontId="0" fillId="4" borderId="0" xfId="0" applyFill="1"/>
    <xf numFmtId="0" fontId="3" fillId="4" borderId="0" xfId="0" applyFont="1" applyFill="1" applyBorder="1" applyAlignment="1">
      <alignment horizontal="center" vertical="top"/>
    </xf>
    <xf numFmtId="0" fontId="2" fillId="4" borderId="0" xfId="0" applyFont="1" applyFill="1"/>
  </cellXfs>
  <cellStyles count="3">
    <cellStyle name="Milliers" xfId="1" builtinId="3"/>
    <cellStyle name="Normal" xfId="0" builtinId="0"/>
    <cellStyle name="Pourcentage" xfId="2"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CDCB0-396D-476B-9FE0-B03BE7C8ED80}">
  <dimension ref="A1:N87"/>
  <sheetViews>
    <sheetView tabSelected="1" workbookViewId="0">
      <selection activeCell="T7" sqref="T7:T8"/>
    </sheetView>
  </sheetViews>
  <sheetFormatPr baseColWidth="10" defaultRowHeight="14.5" x14ac:dyDescent="0.35"/>
  <cols>
    <col min="2" max="12" width="12.36328125" bestFit="1" customWidth="1"/>
    <col min="13" max="14" width="13.36328125" bestFit="1" customWidth="1"/>
  </cols>
  <sheetData>
    <row r="1" spans="1:14" x14ac:dyDescent="0.35">
      <c r="A1" s="1" t="s">
        <v>34</v>
      </c>
      <c r="B1" s="1">
        <v>2011</v>
      </c>
      <c r="C1" s="1">
        <v>2012</v>
      </c>
      <c r="D1" s="1">
        <v>2013</v>
      </c>
      <c r="E1" s="14">
        <v>2014</v>
      </c>
      <c r="F1" s="1">
        <v>2015</v>
      </c>
      <c r="G1" s="1">
        <v>2016</v>
      </c>
      <c r="H1" s="1">
        <v>2017</v>
      </c>
      <c r="I1" s="1">
        <v>2018</v>
      </c>
      <c r="J1" s="1">
        <v>2019</v>
      </c>
      <c r="K1" s="1">
        <v>2020</v>
      </c>
      <c r="L1" s="1">
        <v>2021</v>
      </c>
      <c r="M1" s="15">
        <v>2022</v>
      </c>
      <c r="N1" s="15">
        <v>2023</v>
      </c>
    </row>
    <row r="2" spans="1:14" x14ac:dyDescent="0.35">
      <c r="A2" t="s">
        <v>63</v>
      </c>
      <c r="B2" s="2">
        <v>87307.007872653223</v>
      </c>
      <c r="C2" s="2">
        <v>117308.545144897</v>
      </c>
      <c r="D2" s="2">
        <v>157619.5897594461</v>
      </c>
      <c r="E2" s="10">
        <v>211861.25</v>
      </c>
      <c r="F2" s="2">
        <v>284558.31532073201</v>
      </c>
      <c r="G2" s="2">
        <v>382341.83936125628</v>
      </c>
      <c r="H2" s="2">
        <v>513726.97354276938</v>
      </c>
      <c r="I2" s="2">
        <v>690260.32773790264</v>
      </c>
      <c r="J2" s="2">
        <v>927456.3038087585</v>
      </c>
      <c r="K2" s="2">
        <v>1246160.5584280649</v>
      </c>
      <c r="L2" s="2">
        <v>1674381.9962238979</v>
      </c>
      <c r="M2" s="6">
        <v>2242270.2200000002</v>
      </c>
      <c r="N2" s="6">
        <v>3031810</v>
      </c>
    </row>
    <row r="3" spans="1:14" x14ac:dyDescent="0.35">
      <c r="A3" t="s">
        <v>48</v>
      </c>
      <c r="B3" s="2">
        <v>1655.4171116612149</v>
      </c>
      <c r="C3" s="2">
        <v>1794.467725962111</v>
      </c>
      <c r="D3" s="2">
        <v>1945.1982203375489</v>
      </c>
      <c r="E3" s="10">
        <v>2066.12</v>
      </c>
      <c r="F3" s="2">
        <v>2285.705572178917</v>
      </c>
      <c r="G3" s="2">
        <v>2477.6987331071109</v>
      </c>
      <c r="H3" s="2">
        <v>2685.818806570343</v>
      </c>
      <c r="I3" s="2">
        <v>2911.420410132198</v>
      </c>
      <c r="J3" s="2">
        <v>3155.9719456125481</v>
      </c>
      <c r="K3" s="2">
        <v>3421.0651566603919</v>
      </c>
      <c r="L3" s="2">
        <v>3708.4254891386672</v>
      </c>
      <c r="M3" s="6">
        <v>4827.7700000000004</v>
      </c>
      <c r="N3" s="6">
        <v>3703</v>
      </c>
    </row>
    <row r="4" spans="1:14" x14ac:dyDescent="0.35">
      <c r="A4" t="s">
        <v>54</v>
      </c>
      <c r="B4" s="2">
        <v>5942.7390730600246</v>
      </c>
      <c r="C4" s="2">
        <v>7334.9339349338024</v>
      </c>
      <c r="D4" s="2">
        <v>9053.2757989894762</v>
      </c>
      <c r="E4" s="11">
        <v>11139.615</v>
      </c>
      <c r="F4" s="2">
        <v>13791.9235027704</v>
      </c>
      <c r="G4" s="2">
        <v>17022.932773050568</v>
      </c>
      <c r="H4" s="2">
        <v>21010.86481066795</v>
      </c>
      <c r="I4" s="2">
        <v>25933.04255956825</v>
      </c>
      <c r="J4" s="2">
        <v>32008.330092862961</v>
      </c>
      <c r="K4" s="2">
        <v>39506.864378922051</v>
      </c>
      <c r="L4" s="2">
        <v>48762.066890910908</v>
      </c>
      <c r="M4" s="6">
        <v>61886.75</v>
      </c>
      <c r="N4" s="6">
        <v>72467</v>
      </c>
    </row>
    <row r="5" spans="1:14" x14ac:dyDescent="0.35">
      <c r="A5" t="s">
        <v>46</v>
      </c>
      <c r="B5" s="2">
        <v>33241.705522451797</v>
      </c>
      <c r="C5" s="2">
        <v>42739.41220161182</v>
      </c>
      <c r="D5" s="2">
        <v>54950.771226390338</v>
      </c>
      <c r="E5" s="10">
        <v>71588.08</v>
      </c>
      <c r="F5" s="2">
        <v>90837.314479410663</v>
      </c>
      <c r="G5" s="2">
        <v>116791.04203004279</v>
      </c>
      <c r="H5" s="2">
        <v>150160.18006074929</v>
      </c>
      <c r="I5" s="2">
        <v>193063.4343520671</v>
      </c>
      <c r="J5" s="2">
        <v>248224.86007099491</v>
      </c>
      <c r="K5" s="2">
        <v>319146.82013220538</v>
      </c>
      <c r="L5" s="2">
        <v>410332.36063207692</v>
      </c>
      <c r="M5" s="6">
        <v>468582.36</v>
      </c>
      <c r="N5" s="6">
        <v>753702</v>
      </c>
    </row>
    <row r="6" spans="1:14" x14ac:dyDescent="0.35">
      <c r="A6" s="12" t="s">
        <v>76</v>
      </c>
      <c r="B6" s="2">
        <v>7055.377738748196</v>
      </c>
      <c r="C6" s="2">
        <v>9483.0427548443386</v>
      </c>
      <c r="D6" s="2">
        <v>12746.03617554306</v>
      </c>
      <c r="E6" s="10">
        <v>17034.95</v>
      </c>
      <c r="F6" s="2">
        <v>23026.610934809509</v>
      </c>
      <c r="G6" s="2">
        <v>30949.772511075749</v>
      </c>
      <c r="H6" s="2">
        <v>41599.192395234022</v>
      </c>
      <c r="I6" s="2">
        <v>55912.941115047463</v>
      </c>
      <c r="J6" s="2">
        <v>75151.867238955834</v>
      </c>
      <c r="K6" s="2">
        <v>101010.6611612618</v>
      </c>
      <c r="L6" s="2">
        <v>135767.13451169571</v>
      </c>
      <c r="M6" s="6">
        <v>192033.76</v>
      </c>
      <c r="N6" s="6">
        <v>234399</v>
      </c>
    </row>
    <row r="7" spans="1:14" x14ac:dyDescent="0.35">
      <c r="A7" s="12" t="s">
        <v>133</v>
      </c>
      <c r="B7" s="2">
        <v>180082.98200663639</v>
      </c>
      <c r="C7" s="2">
        <v>232782.20218549611</v>
      </c>
      <c r="D7" s="2">
        <v>300903.24499586679</v>
      </c>
      <c r="E7" s="10">
        <v>387364.67</v>
      </c>
      <c r="F7" s="2">
        <v>502783.5603350125</v>
      </c>
      <c r="G7" s="2">
        <v>649917.40526117757</v>
      </c>
      <c r="H7" s="2">
        <v>840108.28313474474</v>
      </c>
      <c r="I7" s="2">
        <v>1085956.3410337979</v>
      </c>
      <c r="J7" s="2">
        <v>1403749.0146283519</v>
      </c>
      <c r="K7" s="2">
        <v>1814540.070915007</v>
      </c>
      <c r="L7" s="2">
        <v>2345544.4204375488</v>
      </c>
      <c r="M7" s="6">
        <v>3146128.24</v>
      </c>
      <c r="N7" s="6">
        <v>3792505</v>
      </c>
    </row>
    <row r="8" spans="1:14" x14ac:dyDescent="0.35">
      <c r="A8" t="s">
        <v>43</v>
      </c>
      <c r="B8" s="2">
        <v>2620349.2765996391</v>
      </c>
      <c r="C8" s="2">
        <v>2653863.6387681221</v>
      </c>
      <c r="D8" s="2">
        <v>2687806.65084279</v>
      </c>
      <c r="E8" s="10">
        <v>2759405.15</v>
      </c>
      <c r="F8" s="2">
        <v>2757000.6246226481</v>
      </c>
      <c r="G8" s="2">
        <v>2792262.7624824792</v>
      </c>
      <c r="H8" s="2">
        <v>2827975.9043628792</v>
      </c>
      <c r="I8" s="2">
        <v>2864145.8186216289</v>
      </c>
      <c r="J8" s="2">
        <v>2900778.3473939761</v>
      </c>
      <c r="K8" s="2">
        <v>2937879.4075363139</v>
      </c>
      <c r="L8" s="2">
        <v>2975454.9915818488</v>
      </c>
      <c r="M8" s="6">
        <v>2666800.7599999998</v>
      </c>
      <c r="N8" s="6">
        <v>3402330</v>
      </c>
    </row>
    <row r="9" spans="1:14" x14ac:dyDescent="0.35">
      <c r="A9" t="s">
        <v>65</v>
      </c>
      <c r="B9" s="2">
        <v>652.05889434620372</v>
      </c>
      <c r="C9" s="2">
        <v>1021.873050160056</v>
      </c>
      <c r="D9" s="2">
        <v>1601.4267111415179</v>
      </c>
      <c r="E9" s="10">
        <v>2461.92</v>
      </c>
      <c r="F9" s="2">
        <v>3933.0304875741931</v>
      </c>
      <c r="G9" s="2">
        <v>6163.6424187407802</v>
      </c>
      <c r="H9" s="2">
        <v>9659.3423280419865</v>
      </c>
      <c r="I9" s="2">
        <v>15137.622832663479</v>
      </c>
      <c r="J9" s="2">
        <v>23722.901336536899</v>
      </c>
      <c r="K9" s="2">
        <v>37177.306770302413</v>
      </c>
      <c r="L9" s="2">
        <v>58262.356660584657</v>
      </c>
      <c r="M9" s="6">
        <v>108539.41</v>
      </c>
      <c r="N9" s="6">
        <v>122705</v>
      </c>
    </row>
    <row r="10" spans="1:14" x14ac:dyDescent="0.35">
      <c r="A10" t="s">
        <v>60</v>
      </c>
      <c r="B10" s="2">
        <v>94753.175720147556</v>
      </c>
      <c r="C10" s="2">
        <v>127324.2482987026</v>
      </c>
      <c r="D10" s="2">
        <v>171091.513098286</v>
      </c>
      <c r="E10" s="10">
        <v>229560.18</v>
      </c>
      <c r="F10" s="2">
        <v>308932.18756821821</v>
      </c>
      <c r="G10" s="2">
        <v>415126.54598054709</v>
      </c>
      <c r="H10" s="2">
        <v>557824.84348512604</v>
      </c>
      <c r="I10" s="2">
        <v>749575.18140444648</v>
      </c>
      <c r="J10" s="2">
        <v>1007239.0269805019</v>
      </c>
      <c r="K10" s="2">
        <v>1353473.917815503</v>
      </c>
      <c r="L10" s="2">
        <v>1818725.8407751331</v>
      </c>
      <c r="M10" s="6">
        <v>2477010.77</v>
      </c>
      <c r="N10" s="6">
        <v>3244949</v>
      </c>
    </row>
    <row r="11" spans="1:14" x14ac:dyDescent="0.35">
      <c r="A11" t="s">
        <v>38</v>
      </c>
      <c r="B11" s="2">
        <v>2716.014592812669</v>
      </c>
      <c r="C11" s="2">
        <v>3840.9293847621539</v>
      </c>
      <c r="D11" s="2">
        <v>5431.7596738130787</v>
      </c>
      <c r="E11" s="10">
        <v>7640.66</v>
      </c>
      <c r="F11" s="2">
        <v>10862.980350745471</v>
      </c>
      <c r="G11" s="2">
        <v>15362.19302565064</v>
      </c>
      <c r="H11" s="2">
        <v>21724.88276121701</v>
      </c>
      <c r="I11" s="2">
        <v>30722.861651361181</v>
      </c>
      <c r="J11" s="2">
        <v>43447.60974884592</v>
      </c>
      <c r="K11" s="2">
        <v>61442.674654109302</v>
      </c>
      <c r="L11" s="2">
        <v>86890.908164434382</v>
      </c>
      <c r="M11" s="6">
        <v>128915.05</v>
      </c>
      <c r="N11" s="6">
        <v>166522</v>
      </c>
    </row>
    <row r="12" spans="1:14" x14ac:dyDescent="0.35">
      <c r="A12" t="s">
        <v>42</v>
      </c>
      <c r="B12" s="2">
        <v>1662362.873805522</v>
      </c>
      <c r="C12" s="2">
        <v>1794571.5318763361</v>
      </c>
      <c r="D12" s="2">
        <v>1937294.8191802199</v>
      </c>
      <c r="E12" s="10">
        <v>2117093.2999999998</v>
      </c>
      <c r="F12" s="2">
        <v>2257696.725282853</v>
      </c>
      <c r="G12" s="2">
        <v>2437252.6207397901</v>
      </c>
      <c r="H12" s="2">
        <v>2631088.697955552</v>
      </c>
      <c r="I12" s="2">
        <v>2840340.6678492702</v>
      </c>
      <c r="J12" s="2">
        <v>3066234.5650708</v>
      </c>
      <c r="K12" s="2">
        <v>3310093.931498026</v>
      </c>
      <c r="L12" s="2">
        <v>3573347.571041768</v>
      </c>
      <c r="M12" s="6">
        <v>3455621.48</v>
      </c>
      <c r="N12" s="6">
        <v>4592190</v>
      </c>
    </row>
    <row r="13" spans="1:14" x14ac:dyDescent="0.35">
      <c r="A13" t="s">
        <v>56</v>
      </c>
      <c r="B13" s="2">
        <v>51848.663960927457</v>
      </c>
      <c r="C13" s="2">
        <v>63024.226065495677</v>
      </c>
      <c r="D13" s="2">
        <v>76608.590611857828</v>
      </c>
      <c r="E13" s="10">
        <v>95151.38</v>
      </c>
      <c r="F13" s="2">
        <v>113192.4278696609</v>
      </c>
      <c r="G13" s="2">
        <v>137590.14443141321</v>
      </c>
      <c r="H13" s="2">
        <v>167246.5923820881</v>
      </c>
      <c r="I13" s="2">
        <v>203295.2489367091</v>
      </c>
      <c r="J13" s="2">
        <v>247113.9031988123</v>
      </c>
      <c r="K13" s="2">
        <v>300377.31562119839</v>
      </c>
      <c r="L13" s="2">
        <v>365121.22778944293</v>
      </c>
      <c r="M13" s="6">
        <v>365508.96</v>
      </c>
      <c r="N13" s="6">
        <v>641089</v>
      </c>
    </row>
    <row r="14" spans="1:14" x14ac:dyDescent="0.35">
      <c r="A14" t="s">
        <v>37</v>
      </c>
      <c r="B14" s="2">
        <v>46954.830704886692</v>
      </c>
      <c r="C14" s="2">
        <v>57540.261284775414</v>
      </c>
      <c r="D14" s="2">
        <v>70512.056353244727</v>
      </c>
      <c r="E14" s="10">
        <v>85053.13</v>
      </c>
      <c r="F14" s="2">
        <v>105887.935629282</v>
      </c>
      <c r="G14" s="2">
        <v>129759.1619764966</v>
      </c>
      <c r="H14" s="2">
        <v>159011.88380695501</v>
      </c>
      <c r="I14" s="2">
        <v>194859.29784608519</v>
      </c>
      <c r="J14" s="2">
        <v>238788.10217207519</v>
      </c>
      <c r="K14" s="2">
        <v>292620.15397378302</v>
      </c>
      <c r="L14" s="2">
        <v>358588.02734623483</v>
      </c>
      <c r="M14" s="6">
        <v>506604.46</v>
      </c>
      <c r="N14" s="6">
        <v>474528</v>
      </c>
    </row>
    <row r="15" spans="1:14" x14ac:dyDescent="0.35">
      <c r="A15" t="s">
        <v>64</v>
      </c>
      <c r="B15" s="2">
        <v>23958.954092670981</v>
      </c>
      <c r="C15" s="2">
        <v>31894.150275535769</v>
      </c>
      <c r="D15" s="2">
        <v>42457.480316706751</v>
      </c>
      <c r="E15" s="10">
        <v>57295.46</v>
      </c>
      <c r="F15" s="2">
        <v>75238.577939208175</v>
      </c>
      <c r="G15" s="2">
        <v>100157.5653940909</v>
      </c>
      <c r="H15" s="2">
        <v>133329.7117042398</v>
      </c>
      <c r="I15" s="2">
        <v>177488.45984012369</v>
      </c>
      <c r="J15" s="2">
        <v>236272.56801021841</v>
      </c>
      <c r="K15" s="2">
        <v>314525.94971204601</v>
      </c>
      <c r="L15" s="2">
        <v>418696.82069052593</v>
      </c>
      <c r="M15" s="6">
        <v>492989.34</v>
      </c>
      <c r="N15" s="6">
        <v>827501</v>
      </c>
    </row>
    <row r="16" spans="1:14" x14ac:dyDescent="0.35">
      <c r="A16" t="s">
        <v>67</v>
      </c>
      <c r="B16" s="2">
        <v>49065.609860913923</v>
      </c>
      <c r="C16" s="2">
        <v>66043.121086699655</v>
      </c>
      <c r="D16" s="2">
        <v>88895.131543988828</v>
      </c>
      <c r="E16" s="10">
        <v>119429.27</v>
      </c>
      <c r="F16" s="2">
        <v>161056.68378776539</v>
      </c>
      <c r="G16" s="2">
        <v>216784.95588599559</v>
      </c>
      <c r="H16" s="2">
        <v>291796.13036378089</v>
      </c>
      <c r="I16" s="2">
        <v>392762.409860413</v>
      </c>
      <c r="J16" s="2">
        <v>528664.68930570967</v>
      </c>
      <c r="K16" s="2">
        <v>711591.40157531784</v>
      </c>
      <c r="L16" s="2">
        <v>957813.77693483501</v>
      </c>
      <c r="M16" s="6">
        <v>1311262.83</v>
      </c>
      <c r="N16" s="6">
        <v>1709390</v>
      </c>
    </row>
    <row r="17" spans="1:14" x14ac:dyDescent="0.35">
      <c r="A17" t="s">
        <v>62</v>
      </c>
      <c r="B17" s="2">
        <v>751243.83257726266</v>
      </c>
      <c r="C17" s="2">
        <v>933685.81373319495</v>
      </c>
      <c r="D17" s="2">
        <v>1160434.4168468241</v>
      </c>
      <c r="E17" s="10">
        <v>1439637.74</v>
      </c>
      <c r="F17" s="2">
        <v>1792504.613559186</v>
      </c>
      <c r="G17" s="2">
        <v>2227820.124645473</v>
      </c>
      <c r="H17" s="2">
        <v>2768853.4078139891</v>
      </c>
      <c r="I17" s="2">
        <v>3441278.3640612508</v>
      </c>
      <c r="J17" s="2">
        <v>4277003.8838229189</v>
      </c>
      <c r="K17" s="2">
        <v>5315688.0342126554</v>
      </c>
      <c r="L17" s="2">
        <v>6606619.9715056214</v>
      </c>
      <c r="M17" s="6">
        <v>8346110.5300000003</v>
      </c>
      <c r="N17" s="6">
        <v>10058223</v>
      </c>
    </row>
    <row r="18" spans="1:14" x14ac:dyDescent="0.35">
      <c r="A18" t="s">
        <v>53</v>
      </c>
      <c r="B18" s="2">
        <v>154.6790596643059</v>
      </c>
      <c r="C18" s="2">
        <v>175.08284505349229</v>
      </c>
      <c r="D18" s="2">
        <v>198.17810309005799</v>
      </c>
      <c r="E18" s="10">
        <v>230.42</v>
      </c>
      <c r="F18" s="2">
        <v>253.91000326488049</v>
      </c>
      <c r="G18" s="2">
        <v>287.40338773481301</v>
      </c>
      <c r="H18" s="2">
        <v>325.31489984377532</v>
      </c>
      <c r="I18" s="2">
        <v>368.22733682601768</v>
      </c>
      <c r="J18" s="2">
        <v>416.80037296507481</v>
      </c>
      <c r="K18" s="2">
        <v>471.7807004804398</v>
      </c>
      <c r="L18" s="2">
        <v>534.01350810323038</v>
      </c>
      <c r="M18" s="6">
        <v>474.78</v>
      </c>
      <c r="N18" s="6">
        <v>848</v>
      </c>
    </row>
    <row r="19" spans="1:14" x14ac:dyDescent="0.35">
      <c r="A19" t="s">
        <v>50</v>
      </c>
      <c r="B19" s="2">
        <v>1063.4749456512841</v>
      </c>
      <c r="C19" s="2">
        <v>1334.800695655171</v>
      </c>
      <c r="D19" s="2">
        <v>1675.3501381553469</v>
      </c>
      <c r="E19" s="10">
        <v>2137.91</v>
      </c>
      <c r="F19" s="2">
        <v>2639.2705318489911</v>
      </c>
      <c r="G19" s="2">
        <v>3312.6310651135859</v>
      </c>
      <c r="H19" s="2">
        <v>4157.7869495128489</v>
      </c>
      <c r="I19" s="2">
        <v>5218.5685570592223</v>
      </c>
      <c r="J19" s="2">
        <v>6549.9887597454835</v>
      </c>
      <c r="K19" s="2">
        <v>8221.0959353518665</v>
      </c>
      <c r="L19" s="2">
        <v>10318.55486434227</v>
      </c>
      <c r="M19" s="6">
        <v>11157.22</v>
      </c>
      <c r="N19" s="6">
        <v>18559</v>
      </c>
    </row>
    <row r="20" spans="1:14" x14ac:dyDescent="0.35">
      <c r="A20" t="s">
        <v>59</v>
      </c>
      <c r="B20" s="2">
        <v>492862.85793261538</v>
      </c>
      <c r="C20" s="2">
        <v>636568.31156347296</v>
      </c>
      <c r="D20" s="2">
        <v>822174.3813004602</v>
      </c>
      <c r="E20" s="10">
        <v>1061383.8500000001</v>
      </c>
      <c r="F20" s="2">
        <v>1371518.87667561</v>
      </c>
      <c r="G20" s="2">
        <v>1771416.6152933971</v>
      </c>
      <c r="H20" s="2">
        <v>2287913.6979456502</v>
      </c>
      <c r="I20" s="2">
        <v>2955007.3337101131</v>
      </c>
      <c r="J20" s="2">
        <v>3816607.3965644762</v>
      </c>
      <c r="K20" s="2">
        <v>4929426.6898559397</v>
      </c>
      <c r="L20" s="2">
        <v>6366713.9335668432</v>
      </c>
      <c r="M20" s="6">
        <v>8259005.7400000002</v>
      </c>
      <c r="N20" s="6">
        <v>10579620</v>
      </c>
    </row>
    <row r="21" spans="1:14" x14ac:dyDescent="0.35">
      <c r="A21" t="s">
        <v>51</v>
      </c>
      <c r="B21" s="2">
        <v>1.6681557054207159</v>
      </c>
      <c r="C21" s="2">
        <v>3.702821926858419</v>
      </c>
      <c r="D21" s="2">
        <v>8.2191909169327495</v>
      </c>
      <c r="E21" s="10">
        <v>17.82</v>
      </c>
      <c r="F21" s="2">
        <v>40.496878744282142</v>
      </c>
      <c r="G21" s="2">
        <v>89.89132734814811</v>
      </c>
      <c r="H21" s="2">
        <v>199.53267962787919</v>
      </c>
      <c r="I21" s="2">
        <v>442.9046874043201</v>
      </c>
      <c r="J21" s="2">
        <v>983.11997057581368</v>
      </c>
      <c r="K21" s="2">
        <v>2182.2412451974451</v>
      </c>
      <c r="L21" s="2">
        <v>4843.9427483623267</v>
      </c>
      <c r="M21" s="6">
        <v>13287.82</v>
      </c>
      <c r="N21" s="6">
        <v>19772</v>
      </c>
    </row>
    <row r="22" spans="1:14" x14ac:dyDescent="0.35">
      <c r="A22" t="s">
        <v>49</v>
      </c>
      <c r="B22" s="2">
        <v>1810.73035002028</v>
      </c>
      <c r="C22" s="2">
        <v>2165.8975126002488</v>
      </c>
      <c r="D22" s="2">
        <v>2590.7292242798098</v>
      </c>
      <c r="E22" s="10">
        <v>3128.94</v>
      </c>
      <c r="F22" s="2">
        <v>3706.7241477795378</v>
      </c>
      <c r="G22" s="2">
        <v>4433.782540553907</v>
      </c>
      <c r="H22" s="2">
        <v>5303.450387236905</v>
      </c>
      <c r="I22" s="2">
        <v>6343.6999339998883</v>
      </c>
      <c r="J22" s="2">
        <v>7587.9900657648132</v>
      </c>
      <c r="K22" s="2">
        <v>9076.3424873788354</v>
      </c>
      <c r="L22" s="2">
        <v>10856.62899321349</v>
      </c>
      <c r="M22" s="6">
        <v>11905.82</v>
      </c>
      <c r="N22" s="6">
        <v>16780</v>
      </c>
    </row>
    <row r="23" spans="1:14" x14ac:dyDescent="0.35">
      <c r="A23" t="s">
        <v>57</v>
      </c>
      <c r="B23" s="2">
        <v>138304.03173042179</v>
      </c>
      <c r="C23" s="2">
        <v>170272.9986532114</v>
      </c>
      <c r="D23" s="2">
        <v>209631.5899660007</v>
      </c>
      <c r="E23" s="10">
        <v>260707.42</v>
      </c>
      <c r="F23" s="2">
        <v>317744.92009987502</v>
      </c>
      <c r="G23" s="2">
        <v>391191.63537973049</v>
      </c>
      <c r="H23" s="2">
        <v>481615.55357976462</v>
      </c>
      <c r="I23" s="2">
        <v>592940.95392603497</v>
      </c>
      <c r="J23" s="2">
        <v>729999.21250360587</v>
      </c>
      <c r="K23" s="2">
        <v>898738.47762986529</v>
      </c>
      <c r="L23" s="2">
        <v>1106481.811675248</v>
      </c>
      <c r="M23" s="6">
        <v>1243895.07</v>
      </c>
      <c r="N23" s="6">
        <v>1818243</v>
      </c>
    </row>
    <row r="24" spans="1:14" x14ac:dyDescent="0.35">
      <c r="A24" t="s">
        <v>39</v>
      </c>
      <c r="B24" s="2">
        <v>546999.39271441684</v>
      </c>
      <c r="C24" s="2">
        <v>655158.67937340133</v>
      </c>
      <c r="D24" s="2">
        <v>784704.5186435394</v>
      </c>
      <c r="E24" s="10">
        <v>940996.74</v>
      </c>
      <c r="F24" s="2">
        <v>1125707.249004401</v>
      </c>
      <c r="G24" s="2">
        <v>1348295.600400778</v>
      </c>
      <c r="H24" s="2">
        <v>1614896.792810021</v>
      </c>
      <c r="I24" s="2">
        <v>1934213.573531467</v>
      </c>
      <c r="J24" s="2">
        <v>2316669.5015374268</v>
      </c>
      <c r="K24" s="2">
        <v>2774749.2070146259</v>
      </c>
      <c r="L24" s="2">
        <v>3323405.9311089651</v>
      </c>
      <c r="M24" s="6">
        <v>3937696.58</v>
      </c>
      <c r="N24" s="6">
        <v>4813724</v>
      </c>
    </row>
    <row r="25" spans="1:14" x14ac:dyDescent="0.35">
      <c r="A25" s="12" t="s">
        <v>134</v>
      </c>
      <c r="B25" s="2">
        <v>2574.916607871854</v>
      </c>
      <c r="C25" s="2">
        <v>3656.9313958959829</v>
      </c>
      <c r="D25" s="2">
        <v>5193.6234336313246</v>
      </c>
      <c r="E25" s="10">
        <v>7248.24</v>
      </c>
      <c r="F25" s="2">
        <v>10475.57201965387</v>
      </c>
      <c r="G25" s="2">
        <v>14877.549079270309</v>
      </c>
      <c r="H25" s="2">
        <v>21129.296442315939</v>
      </c>
      <c r="I25" s="2">
        <v>30008.1126110566</v>
      </c>
      <c r="J25" s="2">
        <v>42617.927432474113</v>
      </c>
      <c r="K25" s="2">
        <v>60526.55700746776</v>
      </c>
      <c r="L25" s="2">
        <v>85960.634969469436</v>
      </c>
      <c r="M25" s="6">
        <v>142881.85999999999</v>
      </c>
      <c r="N25" s="6">
        <v>150756</v>
      </c>
    </row>
    <row r="26" spans="1:14" x14ac:dyDescent="0.35">
      <c r="A26" t="s">
        <v>44</v>
      </c>
      <c r="B26" s="2">
        <v>855252.31979258114</v>
      </c>
      <c r="C26" s="2">
        <v>1056178.3737163381</v>
      </c>
      <c r="D26" s="2">
        <v>1304308.367589768</v>
      </c>
      <c r="E26" s="10">
        <v>1602787.32</v>
      </c>
      <c r="F26" s="2">
        <v>1989144.3476907141</v>
      </c>
      <c r="G26" s="2">
        <v>2456457.8120531011</v>
      </c>
      <c r="H26" s="2">
        <v>3033558.117288833</v>
      </c>
      <c r="I26" s="2">
        <v>3746237.6947064642</v>
      </c>
      <c r="J26" s="2">
        <v>4626348.4405508619</v>
      </c>
      <c r="K26" s="2">
        <v>5713225.2776243584</v>
      </c>
      <c r="L26" s="2">
        <v>7055444.1569475066</v>
      </c>
      <c r="M26" s="6">
        <v>9109486.5500000007</v>
      </c>
      <c r="N26" s="6">
        <v>10342636</v>
      </c>
    </row>
    <row r="27" spans="1:14" x14ac:dyDescent="0.35">
      <c r="A27" t="s">
        <v>47</v>
      </c>
      <c r="B27" s="2">
        <v>9.1881815035574519</v>
      </c>
      <c r="C27" s="2">
        <v>13.514820238970669</v>
      </c>
      <c r="D27" s="2">
        <v>19.87883739791101</v>
      </c>
      <c r="E27" s="10">
        <v>29.3</v>
      </c>
      <c r="F27" s="2">
        <v>43.00831194285184</v>
      </c>
      <c r="G27" s="2">
        <v>63.260570599768592</v>
      </c>
      <c r="H27" s="2">
        <v>93.049450485884137</v>
      </c>
      <c r="I27" s="2">
        <v>136.8656677238011</v>
      </c>
      <c r="J27" s="2">
        <v>201.3145795452229</v>
      </c>
      <c r="K27" s="2">
        <v>296.11195131316839</v>
      </c>
      <c r="L27" s="2">
        <v>435.54862200522081</v>
      </c>
      <c r="M27" s="6">
        <v>628.86</v>
      </c>
      <c r="N27" s="6">
        <v>958</v>
      </c>
    </row>
    <row r="28" spans="1:14" x14ac:dyDescent="0.35">
      <c r="A28" t="s">
        <v>71</v>
      </c>
      <c r="B28" s="2">
        <v>173294.64456366189</v>
      </c>
      <c r="C28" s="2">
        <v>232395.97970579559</v>
      </c>
      <c r="D28" s="2">
        <v>311653.55120697978</v>
      </c>
      <c r="E28" s="10">
        <v>414793.91</v>
      </c>
      <c r="F28" s="2">
        <v>560478.578114631</v>
      </c>
      <c r="G28" s="2">
        <v>751627.19882674131</v>
      </c>
      <c r="H28" s="2">
        <v>1007966.17047617</v>
      </c>
      <c r="I28" s="2">
        <v>1351728.3600305091</v>
      </c>
      <c r="J28" s="2">
        <v>1812729.0506660561</v>
      </c>
      <c r="K28" s="2">
        <v>2430951.8896640572</v>
      </c>
      <c r="L28" s="2">
        <v>3260016.7618482318</v>
      </c>
      <c r="M28" s="6">
        <v>4679634.1399999997</v>
      </c>
      <c r="N28" s="6">
        <v>5518758</v>
      </c>
    </row>
    <row r="29" spans="1:14" x14ac:dyDescent="0.35">
      <c r="A29" s="12" t="s">
        <v>135</v>
      </c>
      <c r="B29" s="2">
        <v>88130.420530895281</v>
      </c>
      <c r="C29" s="2">
        <v>118316.26248079279</v>
      </c>
      <c r="D29" s="2">
        <v>158841.1570385599</v>
      </c>
      <c r="E29" s="10">
        <v>209742.17</v>
      </c>
      <c r="F29" s="2">
        <v>286286.08620455232</v>
      </c>
      <c r="G29" s="2">
        <v>384342.88087961968</v>
      </c>
      <c r="H29" s="2">
        <v>515985.4327579845</v>
      </c>
      <c r="I29" s="2">
        <v>692717.31067084277</v>
      </c>
      <c r="J29" s="2">
        <v>929982.20887404319</v>
      </c>
      <c r="K29" s="2">
        <v>1248513.4924442531</v>
      </c>
      <c r="L29" s="2">
        <v>1676145.97993505</v>
      </c>
      <c r="M29" s="6">
        <v>2612121.67</v>
      </c>
      <c r="N29" s="6">
        <v>2645952</v>
      </c>
    </row>
    <row r="30" spans="1:14" x14ac:dyDescent="0.35">
      <c r="A30" t="s">
        <v>52</v>
      </c>
      <c r="B30" s="2">
        <v>37.853089033540527</v>
      </c>
      <c r="C30" s="2">
        <v>63.957772980076747</v>
      </c>
      <c r="D30" s="2">
        <v>108.06507022310581</v>
      </c>
      <c r="E30" s="10">
        <v>181</v>
      </c>
      <c r="F30" s="2">
        <v>308.5100767331619</v>
      </c>
      <c r="G30" s="2">
        <v>521.26835493627732</v>
      </c>
      <c r="H30" s="2">
        <v>880.75145141184169</v>
      </c>
      <c r="I30" s="2">
        <v>1488.1454280087551</v>
      </c>
      <c r="J30" s="2">
        <v>2514.417445867844</v>
      </c>
      <c r="K30" s="2">
        <v>4248.4390121362367</v>
      </c>
      <c r="L30" s="2">
        <v>7178.2965352483407</v>
      </c>
      <c r="M30" s="6">
        <v>13122.07</v>
      </c>
      <c r="N30" s="6">
        <v>19108</v>
      </c>
    </row>
    <row r="31" spans="1:14" x14ac:dyDescent="0.35">
      <c r="A31" s="12" t="s">
        <v>136</v>
      </c>
      <c r="B31" s="2">
        <v>684056.17354990274</v>
      </c>
      <c r="C31" s="2">
        <v>882246.53224154795</v>
      </c>
      <c r="D31" s="2">
        <v>1137858.2253164251</v>
      </c>
      <c r="E31" s="10">
        <v>1474450.13</v>
      </c>
      <c r="F31" s="2">
        <v>1892712.018372925</v>
      </c>
      <c r="G31" s="2">
        <v>2441084.0502698901</v>
      </c>
      <c r="H31" s="2">
        <v>3148334.9197546202</v>
      </c>
      <c r="I31" s="2">
        <v>4060496.3052580319</v>
      </c>
      <c r="J31" s="2">
        <v>5236936.5601989916</v>
      </c>
      <c r="K31" s="2">
        <v>6754224.7237210991</v>
      </c>
      <c r="L31" s="2">
        <v>8711114.044273762</v>
      </c>
      <c r="M31" s="6">
        <v>10769070.470000001</v>
      </c>
      <c r="N31" s="6">
        <v>15045964</v>
      </c>
    </row>
    <row r="32" spans="1:14" x14ac:dyDescent="0.35">
      <c r="A32" s="12" t="s">
        <v>137</v>
      </c>
      <c r="B32" s="2">
        <v>63246.489427125271</v>
      </c>
      <c r="C32" s="2">
        <v>77318.572464287441</v>
      </c>
      <c r="D32" s="2">
        <v>94521.635936861057</v>
      </c>
      <c r="E32" s="10">
        <v>115955.73</v>
      </c>
      <c r="F32" s="2">
        <v>141262.22247441809</v>
      </c>
      <c r="G32" s="2">
        <v>172692.4843384313</v>
      </c>
      <c r="H32" s="2">
        <v>211115.84983295921</v>
      </c>
      <c r="I32" s="2">
        <v>258088.25567271039</v>
      </c>
      <c r="J32" s="2">
        <v>315511.82807394938</v>
      </c>
      <c r="K32" s="2">
        <v>385711.90849073301</v>
      </c>
      <c r="L32" s="2">
        <v>471531.21725976671</v>
      </c>
      <c r="M32" s="6">
        <v>558644.61</v>
      </c>
      <c r="N32" s="6">
        <v>724626</v>
      </c>
    </row>
    <row r="33" spans="1:14" x14ac:dyDescent="0.35">
      <c r="A33" t="s">
        <v>55</v>
      </c>
      <c r="B33" s="2">
        <v>32840.965731747863</v>
      </c>
      <c r="C33" s="2">
        <v>45585.745562046133</v>
      </c>
      <c r="D33" s="2">
        <v>63276.464383596132</v>
      </c>
      <c r="E33" s="10">
        <v>88485.55</v>
      </c>
      <c r="F33" s="2">
        <v>121918.18528096221</v>
      </c>
      <c r="G33" s="2">
        <v>169231.66690656199</v>
      </c>
      <c r="H33" s="2">
        <v>234906.35968681579</v>
      </c>
      <c r="I33" s="2">
        <v>326067.80297081638</v>
      </c>
      <c r="J33" s="2">
        <v>452606.7845756259</v>
      </c>
      <c r="K33" s="2">
        <v>628252.46644245239</v>
      </c>
      <c r="L33" s="2">
        <v>872061.96425249206</v>
      </c>
      <c r="M33" s="6">
        <v>1132419.71</v>
      </c>
      <c r="N33" s="6">
        <v>1782829</v>
      </c>
    </row>
    <row r="67" spans="3:14" x14ac:dyDescent="0.35">
      <c r="C67" s="3"/>
      <c r="D67" s="3"/>
      <c r="E67" s="3"/>
      <c r="F67" s="3"/>
      <c r="G67" s="3"/>
      <c r="H67" s="3"/>
      <c r="I67" s="3"/>
      <c r="J67" s="3"/>
      <c r="K67" s="3"/>
      <c r="L67" s="3"/>
      <c r="M67" s="3"/>
      <c r="N67" s="3"/>
    </row>
    <row r="68" spans="3:14" x14ac:dyDescent="0.35">
      <c r="C68" s="3"/>
      <c r="D68" s="3"/>
      <c r="E68" s="3"/>
      <c r="F68" s="3"/>
      <c r="G68" s="3"/>
      <c r="H68" s="3"/>
      <c r="I68" s="3"/>
      <c r="J68" s="3"/>
      <c r="K68" s="3"/>
      <c r="L68" s="3"/>
      <c r="M68" s="3"/>
      <c r="N68" s="3"/>
    </row>
    <row r="69" spans="3:14" x14ac:dyDescent="0.35">
      <c r="C69" s="3"/>
      <c r="D69" s="3"/>
      <c r="E69" s="3"/>
      <c r="F69" s="3"/>
      <c r="G69" s="3"/>
      <c r="H69" s="3"/>
      <c r="I69" s="3"/>
      <c r="J69" s="3"/>
      <c r="K69" s="3"/>
      <c r="L69" s="3"/>
      <c r="M69" s="3"/>
      <c r="N69" s="3"/>
    </row>
    <row r="70" spans="3:14" x14ac:dyDescent="0.35">
      <c r="C70" s="3"/>
      <c r="D70" s="3"/>
      <c r="E70" s="3"/>
      <c r="F70" s="3"/>
      <c r="G70" s="3"/>
      <c r="H70" s="3"/>
      <c r="I70" s="3"/>
      <c r="J70" s="3"/>
      <c r="K70" s="3"/>
      <c r="L70" s="3"/>
      <c r="M70" s="3"/>
      <c r="N70" s="3"/>
    </row>
    <row r="71" spans="3:14" x14ac:dyDescent="0.35">
      <c r="C71" s="3"/>
      <c r="D71" s="3"/>
      <c r="E71" s="3"/>
      <c r="F71" s="3"/>
      <c r="G71" s="3"/>
      <c r="H71" s="3"/>
      <c r="I71" s="3"/>
      <c r="J71" s="3"/>
      <c r="K71" s="3"/>
      <c r="L71" s="3"/>
      <c r="M71" s="3"/>
      <c r="N71" s="3"/>
    </row>
    <row r="72" spans="3:14" x14ac:dyDescent="0.35">
      <c r="C72" s="3"/>
      <c r="D72" s="3"/>
      <c r="E72" s="3"/>
      <c r="F72" s="3"/>
      <c r="G72" s="3"/>
      <c r="H72" s="3"/>
      <c r="I72" s="3"/>
      <c r="J72" s="3"/>
      <c r="K72" s="3"/>
      <c r="L72" s="3"/>
      <c r="M72" s="3"/>
      <c r="N72" s="3"/>
    </row>
    <row r="73" spans="3:14" x14ac:dyDescent="0.35">
      <c r="C73" s="3"/>
      <c r="D73" s="3"/>
      <c r="E73" s="3"/>
      <c r="F73" s="3"/>
      <c r="G73" s="3"/>
      <c r="H73" s="3"/>
      <c r="I73" s="3"/>
      <c r="J73" s="3"/>
      <c r="K73" s="3"/>
      <c r="L73" s="3"/>
      <c r="M73" s="3"/>
      <c r="N73" s="3"/>
    </row>
    <row r="74" spans="3:14" x14ac:dyDescent="0.35">
      <c r="C74" s="3"/>
      <c r="D74" s="3"/>
      <c r="E74" s="3"/>
      <c r="F74" s="3"/>
      <c r="G74" s="3"/>
      <c r="H74" s="3"/>
      <c r="I74" s="3"/>
      <c r="J74" s="3"/>
      <c r="K74" s="3"/>
      <c r="L74" s="3"/>
      <c r="M74" s="3"/>
      <c r="N74" s="3"/>
    </row>
    <row r="75" spans="3:14" x14ac:dyDescent="0.35">
      <c r="C75" s="3"/>
      <c r="D75" s="3"/>
      <c r="E75" s="3"/>
      <c r="F75" s="3"/>
      <c r="G75" s="3"/>
      <c r="H75" s="3"/>
      <c r="I75" s="3"/>
      <c r="J75" s="3"/>
      <c r="K75" s="3"/>
      <c r="L75" s="3"/>
      <c r="M75" s="3"/>
      <c r="N75" s="3"/>
    </row>
    <row r="76" spans="3:14" x14ac:dyDescent="0.35">
      <c r="C76" s="3"/>
      <c r="D76" s="3"/>
      <c r="E76" s="3"/>
      <c r="F76" s="3"/>
      <c r="G76" s="3"/>
      <c r="H76" s="3"/>
      <c r="I76" s="3"/>
      <c r="J76" s="3"/>
      <c r="K76" s="3"/>
      <c r="L76" s="3"/>
      <c r="M76" s="3"/>
      <c r="N76" s="3"/>
    </row>
    <row r="77" spans="3:14" x14ac:dyDescent="0.35">
      <c r="C77" s="3"/>
      <c r="D77" s="3"/>
      <c r="E77" s="3"/>
      <c r="F77" s="3"/>
      <c r="G77" s="3"/>
      <c r="H77" s="3"/>
      <c r="I77" s="3"/>
      <c r="J77" s="3"/>
      <c r="K77" s="3"/>
      <c r="L77" s="3"/>
      <c r="M77" s="3"/>
      <c r="N77" s="3"/>
    </row>
    <row r="78" spans="3:14" x14ac:dyDescent="0.35">
      <c r="C78" s="3"/>
      <c r="D78" s="3"/>
      <c r="E78" s="3"/>
      <c r="F78" s="3"/>
      <c r="G78" s="3"/>
      <c r="H78" s="3"/>
      <c r="I78" s="3"/>
      <c r="J78" s="3"/>
      <c r="K78" s="3"/>
      <c r="L78" s="3"/>
      <c r="M78" s="3"/>
      <c r="N78" s="3"/>
    </row>
    <row r="79" spans="3:14" x14ac:dyDescent="0.35">
      <c r="C79" s="3"/>
      <c r="D79" s="3"/>
      <c r="E79" s="3"/>
      <c r="F79" s="3"/>
      <c r="G79" s="3"/>
      <c r="H79" s="3"/>
      <c r="I79" s="3"/>
      <c r="J79" s="3"/>
      <c r="K79" s="3"/>
      <c r="L79" s="3"/>
      <c r="M79" s="3"/>
      <c r="N79" s="3"/>
    </row>
    <row r="80" spans="3:14" x14ac:dyDescent="0.35">
      <c r="C80" s="3"/>
      <c r="D80" s="3"/>
      <c r="E80" s="3"/>
      <c r="F80" s="3"/>
      <c r="G80" s="3"/>
      <c r="H80" s="3"/>
      <c r="I80" s="3"/>
      <c r="J80" s="3"/>
      <c r="K80" s="3"/>
      <c r="L80" s="3"/>
      <c r="M80" s="3"/>
      <c r="N80" s="3"/>
    </row>
    <row r="81" spans="3:14" x14ac:dyDescent="0.35">
      <c r="C81" s="3"/>
      <c r="D81" s="3"/>
      <c r="E81" s="3"/>
      <c r="F81" s="3"/>
      <c r="G81" s="3"/>
      <c r="H81" s="3"/>
      <c r="I81" s="3"/>
      <c r="J81" s="3"/>
      <c r="K81" s="3"/>
      <c r="L81" s="3"/>
      <c r="M81" s="3"/>
      <c r="N81" s="3"/>
    </row>
    <row r="82" spans="3:14" x14ac:dyDescent="0.35">
      <c r="C82" s="3"/>
      <c r="D82" s="3"/>
      <c r="E82" s="3"/>
      <c r="F82" s="3"/>
      <c r="G82" s="3"/>
      <c r="H82" s="3"/>
      <c r="I82" s="3"/>
      <c r="J82" s="3"/>
      <c r="K82" s="3"/>
      <c r="L82" s="3"/>
      <c r="M82" s="3"/>
      <c r="N82" s="3"/>
    </row>
    <row r="83" spans="3:14" x14ac:dyDescent="0.35">
      <c r="C83" s="3"/>
      <c r="D83" s="3"/>
      <c r="E83" s="3"/>
      <c r="F83" s="3"/>
      <c r="G83" s="3"/>
      <c r="H83" s="3"/>
      <c r="I83" s="3"/>
      <c r="J83" s="3"/>
      <c r="K83" s="3"/>
      <c r="L83" s="3"/>
      <c r="M83" s="3"/>
      <c r="N83" s="3"/>
    </row>
    <row r="84" spans="3:14" x14ac:dyDescent="0.35">
      <c r="C84" s="3"/>
      <c r="D84" s="3"/>
      <c r="E84" s="3"/>
      <c r="F84" s="3"/>
      <c r="G84" s="3"/>
      <c r="H84" s="3"/>
      <c r="I84" s="3"/>
      <c r="J84" s="3"/>
      <c r="K84" s="3"/>
      <c r="L84" s="3"/>
      <c r="M84" s="3"/>
      <c r="N84" s="3"/>
    </row>
    <row r="85" spans="3:14" x14ac:dyDescent="0.35">
      <c r="C85" s="3"/>
      <c r="D85" s="3"/>
      <c r="E85" s="3"/>
      <c r="F85" s="3"/>
      <c r="G85" s="3"/>
      <c r="H85" s="3"/>
      <c r="I85" s="3"/>
      <c r="J85" s="3"/>
      <c r="K85" s="3"/>
      <c r="L85" s="3"/>
      <c r="M85" s="3"/>
      <c r="N85" s="3"/>
    </row>
    <row r="86" spans="3:14" x14ac:dyDescent="0.35">
      <c r="C86" s="3"/>
      <c r="D86" s="3"/>
      <c r="E86" s="3"/>
      <c r="F86" s="3"/>
      <c r="G86" s="3"/>
      <c r="H86" s="3"/>
      <c r="I86" s="3"/>
      <c r="J86" s="3"/>
      <c r="K86" s="3"/>
      <c r="L86" s="3"/>
      <c r="M86" s="3"/>
      <c r="N86" s="3"/>
    </row>
    <row r="87" spans="3:14" x14ac:dyDescent="0.35">
      <c r="C87" s="3"/>
      <c r="D87" s="3"/>
      <c r="E87" s="3"/>
      <c r="F87" s="3"/>
      <c r="G87" s="3"/>
      <c r="H87" s="3"/>
      <c r="I87" s="3"/>
      <c r="J87" s="3"/>
      <c r="K87" s="3"/>
      <c r="L87" s="3"/>
      <c r="M87" s="3"/>
      <c r="N87"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B3BA4-3B6E-40FF-9AB2-BDC473B543E9}">
  <dimension ref="B2:G38"/>
  <sheetViews>
    <sheetView workbookViewId="0">
      <selection activeCell="J34" sqref="J34"/>
    </sheetView>
  </sheetViews>
  <sheetFormatPr baseColWidth="10" defaultRowHeight="14.5" x14ac:dyDescent="0.35"/>
  <cols>
    <col min="4" max="4" width="13.36328125" bestFit="1" customWidth="1"/>
    <col min="5" max="5" width="12.36328125" bestFit="1" customWidth="1"/>
    <col min="6" max="6" width="13.36328125" bestFit="1" customWidth="1"/>
    <col min="7" max="7" width="20.453125" bestFit="1" customWidth="1"/>
  </cols>
  <sheetData>
    <row r="2" spans="2:7" x14ac:dyDescent="0.35">
      <c r="B2">
        <v>2014</v>
      </c>
      <c r="C2" t="s">
        <v>34</v>
      </c>
      <c r="D2" t="s">
        <v>35</v>
      </c>
      <c r="E2" t="s">
        <v>36</v>
      </c>
      <c r="F2" t="s">
        <v>75</v>
      </c>
      <c r="G2" t="s">
        <v>78</v>
      </c>
    </row>
    <row r="3" spans="2:7" x14ac:dyDescent="0.35">
      <c r="B3" t="s">
        <v>37</v>
      </c>
      <c r="C3" t="s">
        <v>0</v>
      </c>
      <c r="D3" s="2">
        <v>72711.69</v>
      </c>
      <c r="E3" s="2">
        <v>12341.44</v>
      </c>
      <c r="F3" s="2">
        <f>SUM(D3:E3)</f>
        <v>85053.13</v>
      </c>
      <c r="G3" s="5">
        <f>E3/F3</f>
        <v>0.1451027140329815</v>
      </c>
    </row>
    <row r="4" spans="2:7" x14ac:dyDescent="0.35">
      <c r="B4" t="s">
        <v>38</v>
      </c>
      <c r="C4" t="s">
        <v>1</v>
      </c>
      <c r="D4" s="2">
        <v>7640.66</v>
      </c>
      <c r="E4" s="2">
        <v>0</v>
      </c>
      <c r="F4" s="2">
        <f t="shared" ref="F4:F38" si="0">SUM(D4:E4)</f>
        <v>7640.66</v>
      </c>
      <c r="G4" s="5">
        <f t="shared" ref="G4:G38" si="1">E4/F4</f>
        <v>0</v>
      </c>
    </row>
    <row r="5" spans="2:7" x14ac:dyDescent="0.35">
      <c r="B5" t="s">
        <v>39</v>
      </c>
      <c r="C5" t="s">
        <v>2</v>
      </c>
      <c r="D5" s="2">
        <v>790034.76</v>
      </c>
      <c r="E5" s="2">
        <v>150961.98000000001</v>
      </c>
      <c r="F5" s="2">
        <f t="shared" si="0"/>
        <v>940996.74</v>
      </c>
      <c r="G5" s="5">
        <f t="shared" si="1"/>
        <v>0.1604277396327643</v>
      </c>
    </row>
    <row r="6" spans="2:7" x14ac:dyDescent="0.35">
      <c r="B6" t="s">
        <v>40</v>
      </c>
      <c r="C6" t="s">
        <v>3</v>
      </c>
      <c r="D6" s="2">
        <v>16051.63</v>
      </c>
      <c r="E6" s="2">
        <v>983.32</v>
      </c>
      <c r="F6" s="2">
        <f t="shared" si="0"/>
        <v>17034.95</v>
      </c>
      <c r="G6" s="5">
        <f t="shared" si="1"/>
        <v>5.7723679846433361E-2</v>
      </c>
    </row>
    <row r="7" spans="2:7" x14ac:dyDescent="0.35">
      <c r="B7" t="s">
        <v>41</v>
      </c>
      <c r="C7" t="s">
        <v>4</v>
      </c>
      <c r="D7" s="2">
        <v>114025.06</v>
      </c>
      <c r="E7" s="2">
        <v>1930.67</v>
      </c>
      <c r="F7" s="2">
        <f t="shared" si="0"/>
        <v>115955.73</v>
      </c>
      <c r="G7" s="5">
        <f t="shared" si="1"/>
        <v>1.6650061191456431E-2</v>
      </c>
    </row>
    <row r="8" spans="2:7" x14ac:dyDescent="0.35">
      <c r="B8" t="s">
        <v>42</v>
      </c>
      <c r="C8" t="s">
        <v>5</v>
      </c>
      <c r="D8" s="2">
        <v>2065418.39</v>
      </c>
      <c r="E8" s="2">
        <v>51674.91</v>
      </c>
      <c r="F8" s="2">
        <f t="shared" si="0"/>
        <v>2117093.2999999998</v>
      </c>
      <c r="G8" s="5">
        <f t="shared" si="1"/>
        <v>2.440842356829527E-2</v>
      </c>
    </row>
    <row r="9" spans="2:7" x14ac:dyDescent="0.35">
      <c r="B9" t="s">
        <v>43</v>
      </c>
      <c r="C9" t="s">
        <v>6</v>
      </c>
      <c r="D9" s="2">
        <v>2596942.0499999998</v>
      </c>
      <c r="E9" s="2">
        <v>162463.1</v>
      </c>
      <c r="F9" s="2">
        <f t="shared" si="0"/>
        <v>2759405.15</v>
      </c>
      <c r="G9" s="5">
        <f t="shared" si="1"/>
        <v>5.887613132852202E-2</v>
      </c>
    </row>
    <row r="10" spans="2:7" x14ac:dyDescent="0.35">
      <c r="B10" t="s">
        <v>44</v>
      </c>
      <c r="C10" t="s">
        <v>7</v>
      </c>
      <c r="D10" s="2">
        <v>1519495.4</v>
      </c>
      <c r="E10" s="2">
        <v>83291.92</v>
      </c>
      <c r="F10" s="2">
        <f t="shared" si="0"/>
        <v>1602787.3199999998</v>
      </c>
      <c r="G10" s="5">
        <f t="shared" si="1"/>
        <v>5.1966919728314298E-2</v>
      </c>
    </row>
    <row r="11" spans="2:7" x14ac:dyDescent="0.35">
      <c r="B11" t="s">
        <v>45</v>
      </c>
      <c r="C11" t="s">
        <v>8</v>
      </c>
      <c r="D11" s="2">
        <v>1331426.08</v>
      </c>
      <c r="E11" s="2">
        <v>143024.04999999999</v>
      </c>
      <c r="F11" s="2">
        <f t="shared" si="0"/>
        <v>1474450.1300000001</v>
      </c>
      <c r="G11" s="5">
        <f t="shared" si="1"/>
        <v>9.7001619173108261E-2</v>
      </c>
    </row>
    <row r="12" spans="2:7" x14ac:dyDescent="0.35">
      <c r="B12" t="s">
        <v>46</v>
      </c>
      <c r="C12" t="s">
        <v>9</v>
      </c>
      <c r="D12" s="2">
        <v>65330.42</v>
      </c>
      <c r="E12" s="2">
        <v>6257.66</v>
      </c>
      <c r="F12" s="2">
        <f t="shared" si="0"/>
        <v>71588.08</v>
      </c>
      <c r="G12" s="5">
        <f t="shared" si="1"/>
        <v>8.7412038428743996E-2</v>
      </c>
    </row>
    <row r="13" spans="2:7" x14ac:dyDescent="0.35">
      <c r="B13" t="s">
        <v>47</v>
      </c>
      <c r="C13" t="s">
        <v>10</v>
      </c>
      <c r="D13" s="2">
        <v>29.3</v>
      </c>
      <c r="E13" s="2">
        <v>0</v>
      </c>
      <c r="F13" s="2">
        <f t="shared" si="0"/>
        <v>29.3</v>
      </c>
      <c r="G13" s="5">
        <f t="shared" si="1"/>
        <v>0</v>
      </c>
    </row>
    <row r="14" spans="2:7" x14ac:dyDescent="0.35">
      <c r="B14" t="s">
        <v>48</v>
      </c>
      <c r="C14" t="s">
        <v>11</v>
      </c>
      <c r="D14" s="2">
        <v>626.24</v>
      </c>
      <c r="E14" s="2">
        <v>1439.88</v>
      </c>
      <c r="F14" s="2">
        <f t="shared" si="0"/>
        <v>2066.12</v>
      </c>
      <c r="G14" s="5">
        <f t="shared" si="1"/>
        <v>0.69690047044702153</v>
      </c>
    </row>
    <row r="15" spans="2:7" x14ac:dyDescent="0.35">
      <c r="B15" t="s">
        <v>49</v>
      </c>
      <c r="C15" t="s">
        <v>12</v>
      </c>
      <c r="D15" s="2">
        <v>3128.94</v>
      </c>
      <c r="E15" s="2">
        <v>0</v>
      </c>
      <c r="F15" s="2">
        <f t="shared" si="0"/>
        <v>3128.94</v>
      </c>
      <c r="G15" s="5">
        <f t="shared" si="1"/>
        <v>0</v>
      </c>
    </row>
    <row r="16" spans="2:7" x14ac:dyDescent="0.35">
      <c r="B16" t="s">
        <v>50</v>
      </c>
      <c r="C16" t="s">
        <v>13</v>
      </c>
      <c r="D16" s="2">
        <v>2049.27</v>
      </c>
      <c r="E16" s="2">
        <v>88.64</v>
      </c>
      <c r="F16" s="2">
        <f t="shared" si="0"/>
        <v>2137.91</v>
      </c>
      <c r="G16" s="5">
        <f t="shared" si="1"/>
        <v>4.1461053084554542E-2</v>
      </c>
    </row>
    <row r="17" spans="2:7" x14ac:dyDescent="0.35">
      <c r="B17" t="s">
        <v>51</v>
      </c>
      <c r="C17" t="s">
        <v>14</v>
      </c>
      <c r="D17" s="2">
        <v>0</v>
      </c>
      <c r="E17" s="2">
        <v>17.82</v>
      </c>
      <c r="F17" s="2">
        <f t="shared" si="0"/>
        <v>17.82</v>
      </c>
      <c r="G17" s="5">
        <f t="shared" si="1"/>
        <v>1</v>
      </c>
    </row>
    <row r="18" spans="2:7" x14ac:dyDescent="0.35">
      <c r="B18" t="s">
        <v>52</v>
      </c>
      <c r="C18" t="s">
        <v>15</v>
      </c>
      <c r="D18" s="2">
        <v>181</v>
      </c>
      <c r="E18" s="2">
        <v>0</v>
      </c>
      <c r="F18" s="2">
        <f t="shared" si="0"/>
        <v>181</v>
      </c>
      <c r="G18" s="5">
        <f t="shared" si="1"/>
        <v>0</v>
      </c>
    </row>
    <row r="19" spans="2:7" x14ac:dyDescent="0.35">
      <c r="B19" t="s">
        <v>53</v>
      </c>
      <c r="C19" t="s">
        <v>16</v>
      </c>
      <c r="D19" s="2">
        <v>230.42</v>
      </c>
      <c r="E19" s="2">
        <v>0</v>
      </c>
      <c r="F19" s="2">
        <f t="shared" si="0"/>
        <v>230.42</v>
      </c>
      <c r="G19" s="5">
        <f t="shared" si="1"/>
        <v>0</v>
      </c>
    </row>
    <row r="20" spans="2:7" x14ac:dyDescent="0.35">
      <c r="B20" t="s">
        <v>54</v>
      </c>
      <c r="C20" t="s">
        <v>17</v>
      </c>
      <c r="D20" s="2">
        <v>30372.19</v>
      </c>
      <c r="E20" s="2">
        <v>58113.36</v>
      </c>
      <c r="F20" s="2">
        <f t="shared" si="0"/>
        <v>88485.55</v>
      </c>
      <c r="G20" s="5">
        <f t="shared" si="1"/>
        <v>0.65675536853192418</v>
      </c>
    </row>
    <row r="21" spans="2:7" x14ac:dyDescent="0.35">
      <c r="B21" t="s">
        <v>55</v>
      </c>
      <c r="C21" t="s">
        <v>18</v>
      </c>
      <c r="D21" s="2">
        <v>73154.559999999998</v>
      </c>
      <c r="E21" s="2">
        <v>21996.82</v>
      </c>
      <c r="F21" s="2">
        <f t="shared" si="0"/>
        <v>95151.38</v>
      </c>
      <c r="G21" s="5">
        <f t="shared" si="1"/>
        <v>0.23117709906046552</v>
      </c>
    </row>
    <row r="22" spans="2:7" x14ac:dyDescent="0.35">
      <c r="B22" t="s">
        <v>56</v>
      </c>
      <c r="C22" t="s">
        <v>19</v>
      </c>
      <c r="D22" s="2">
        <v>240710.42</v>
      </c>
      <c r="E22" s="2">
        <v>19997</v>
      </c>
      <c r="F22" s="2">
        <f t="shared" si="0"/>
        <v>260707.42</v>
      </c>
      <c r="G22" s="5">
        <f t="shared" si="1"/>
        <v>7.6702841829357979E-2</v>
      </c>
    </row>
    <row r="23" spans="2:7" x14ac:dyDescent="0.35">
      <c r="B23" t="s">
        <v>57</v>
      </c>
      <c r="C23" t="s">
        <v>20</v>
      </c>
      <c r="D23" s="2">
        <v>384283.86</v>
      </c>
      <c r="E23" s="2">
        <v>3080.81</v>
      </c>
      <c r="F23" s="2">
        <f t="shared" si="0"/>
        <v>387364.67</v>
      </c>
      <c r="G23" s="5">
        <f t="shared" si="1"/>
        <v>7.9532550038701258E-3</v>
      </c>
    </row>
    <row r="24" spans="2:7" x14ac:dyDescent="0.35">
      <c r="B24" t="s">
        <v>58</v>
      </c>
      <c r="C24" t="s">
        <v>21</v>
      </c>
      <c r="D24" s="2">
        <v>1050412.8</v>
      </c>
      <c r="E24" s="2">
        <v>10971.05</v>
      </c>
      <c r="F24" s="2">
        <f t="shared" si="0"/>
        <v>1061383.8500000001</v>
      </c>
      <c r="G24" s="5">
        <f t="shared" si="1"/>
        <v>1.0336552605355733E-2</v>
      </c>
    </row>
    <row r="25" spans="2:7" x14ac:dyDescent="0.35">
      <c r="B25" t="s">
        <v>59</v>
      </c>
      <c r="C25" t="s">
        <v>22</v>
      </c>
      <c r="D25" s="2">
        <v>99640.23</v>
      </c>
      <c r="E25" s="2">
        <v>129919.95</v>
      </c>
      <c r="F25" s="2">
        <f t="shared" si="0"/>
        <v>229560.18</v>
      </c>
      <c r="G25" s="5">
        <f t="shared" si="1"/>
        <v>0.56595159491511116</v>
      </c>
    </row>
    <row r="26" spans="2:7" x14ac:dyDescent="0.35">
      <c r="B26" t="s">
        <v>60</v>
      </c>
      <c r="C26" t="s">
        <v>23</v>
      </c>
      <c r="D26" s="2">
        <v>5.0599999999999996</v>
      </c>
      <c r="E26" s="2">
        <v>910.44</v>
      </c>
      <c r="F26" s="2">
        <f t="shared" si="0"/>
        <v>915.5</v>
      </c>
      <c r="G26" s="5">
        <f t="shared" si="1"/>
        <v>0.99447296559257248</v>
      </c>
    </row>
    <row r="27" spans="2:7" x14ac:dyDescent="0.35">
      <c r="B27" t="s">
        <v>61</v>
      </c>
      <c r="C27" t="s">
        <v>24</v>
      </c>
      <c r="D27" s="2">
        <v>6863.98</v>
      </c>
      <c r="E27" s="2">
        <v>2121.86</v>
      </c>
      <c r="F27" s="2">
        <f t="shared" si="0"/>
        <v>8985.84</v>
      </c>
      <c r="G27" s="5">
        <f t="shared" si="1"/>
        <v>0.23613373930539605</v>
      </c>
    </row>
    <row r="28" spans="2:7" x14ac:dyDescent="0.35">
      <c r="B28" t="s">
        <v>62</v>
      </c>
      <c r="C28" t="s">
        <v>25</v>
      </c>
      <c r="D28" s="2">
        <v>1077728.8</v>
      </c>
      <c r="E28" s="2">
        <v>361908.94</v>
      </c>
      <c r="F28" s="2">
        <f t="shared" si="0"/>
        <v>1439637.74</v>
      </c>
      <c r="G28" s="5">
        <f t="shared" si="1"/>
        <v>0.25138889454231728</v>
      </c>
    </row>
    <row r="29" spans="2:7" x14ac:dyDescent="0.35">
      <c r="B29" t="s">
        <v>63</v>
      </c>
      <c r="C29" t="s">
        <v>26</v>
      </c>
      <c r="D29" s="2">
        <v>184946.17</v>
      </c>
      <c r="E29" s="2">
        <v>26915.08</v>
      </c>
      <c r="F29" s="2">
        <f t="shared" si="0"/>
        <v>211861.25</v>
      </c>
      <c r="G29" s="5">
        <f t="shared" si="1"/>
        <v>0.12704107051195063</v>
      </c>
    </row>
    <row r="30" spans="2:7" x14ac:dyDescent="0.35">
      <c r="B30" t="s">
        <v>64</v>
      </c>
      <c r="C30" t="s">
        <v>27</v>
      </c>
      <c r="D30" s="2">
        <v>47968.09</v>
      </c>
      <c r="E30" s="2">
        <v>9327.3700000000008</v>
      </c>
      <c r="F30" s="2">
        <f t="shared" si="0"/>
        <v>57295.46</v>
      </c>
      <c r="G30" s="5">
        <f t="shared" si="1"/>
        <v>0.16279422488273942</v>
      </c>
    </row>
    <row r="31" spans="2:7" x14ac:dyDescent="0.35">
      <c r="B31" t="s">
        <v>65</v>
      </c>
      <c r="C31" t="s">
        <v>28</v>
      </c>
      <c r="D31" s="2">
        <v>73.92</v>
      </c>
      <c r="E31" s="2">
        <v>2388</v>
      </c>
      <c r="F31" s="2">
        <f t="shared" si="0"/>
        <v>2461.92</v>
      </c>
      <c r="G31" s="5">
        <f t="shared" si="1"/>
        <v>0.96997465392864102</v>
      </c>
    </row>
    <row r="32" spans="2:7" x14ac:dyDescent="0.35">
      <c r="B32" t="s">
        <v>66</v>
      </c>
      <c r="C32" t="s">
        <v>29</v>
      </c>
      <c r="D32" s="2">
        <v>26.37</v>
      </c>
      <c r="E32" s="2">
        <v>582.80999999999995</v>
      </c>
      <c r="F32" s="2">
        <f t="shared" si="0"/>
        <v>609.17999999999995</v>
      </c>
      <c r="G32" s="5">
        <f t="shared" si="1"/>
        <v>0.95671230178272426</v>
      </c>
    </row>
    <row r="33" spans="2:7" x14ac:dyDescent="0.35">
      <c r="B33" t="s">
        <v>67</v>
      </c>
      <c r="C33" t="s">
        <v>30</v>
      </c>
      <c r="D33" s="2">
        <v>32841.480000000003</v>
      </c>
      <c r="E33" s="2">
        <v>86587.79</v>
      </c>
      <c r="F33" s="2">
        <f t="shared" si="0"/>
        <v>119429.26999999999</v>
      </c>
      <c r="G33" s="5">
        <f t="shared" si="1"/>
        <v>0.72501313957625302</v>
      </c>
    </row>
    <row r="34" spans="2:7" x14ac:dyDescent="0.35">
      <c r="B34" t="s">
        <v>68</v>
      </c>
      <c r="C34" t="s">
        <v>31</v>
      </c>
      <c r="D34" s="2">
        <v>50363.31</v>
      </c>
      <c r="E34" s="2">
        <v>159378.85999999999</v>
      </c>
      <c r="F34" s="2">
        <f t="shared" si="0"/>
        <v>209742.16999999998</v>
      </c>
      <c r="G34" s="5">
        <f t="shared" si="1"/>
        <v>0.7598799039792522</v>
      </c>
    </row>
    <row r="35" spans="2:7" x14ac:dyDescent="0.35">
      <c r="B35" t="s">
        <v>69</v>
      </c>
      <c r="C35" t="s">
        <v>32</v>
      </c>
      <c r="D35" s="2">
        <v>3488.23</v>
      </c>
      <c r="E35" s="2">
        <v>3760.01</v>
      </c>
      <c r="F35" s="2">
        <f t="shared" si="0"/>
        <v>7248.24</v>
      </c>
      <c r="G35" s="5">
        <f t="shared" si="1"/>
        <v>0.5187479995143649</v>
      </c>
    </row>
    <row r="36" spans="2:7" x14ac:dyDescent="0.35">
      <c r="B36" t="s">
        <v>70</v>
      </c>
      <c r="C36" t="s">
        <v>33</v>
      </c>
      <c r="D36" s="2">
        <v>81.09</v>
      </c>
      <c r="E36" s="2">
        <v>525.09</v>
      </c>
      <c r="F36" s="2">
        <f t="shared" si="0"/>
        <v>606.18000000000006</v>
      </c>
      <c r="G36" s="5">
        <f t="shared" si="1"/>
        <v>0.86622785311293671</v>
      </c>
    </row>
    <row r="37" spans="2:7" x14ac:dyDescent="0.35">
      <c r="B37" t="s">
        <v>71</v>
      </c>
      <c r="C37" t="s">
        <v>72</v>
      </c>
      <c r="D37" s="2">
        <v>393136.84</v>
      </c>
      <c r="E37" s="2">
        <v>21657.07</v>
      </c>
      <c r="F37" s="2">
        <f t="shared" si="0"/>
        <v>414793.91000000003</v>
      </c>
      <c r="G37" s="5">
        <f t="shared" si="1"/>
        <v>5.2211639269245776E-2</v>
      </c>
    </row>
    <row r="38" spans="2:7" x14ac:dyDescent="0.35">
      <c r="B38" t="s">
        <v>73</v>
      </c>
      <c r="C38" t="s">
        <v>74</v>
      </c>
      <c r="D38" s="2">
        <v>12261418.710000001</v>
      </c>
      <c r="E38" s="2">
        <v>1534617.7</v>
      </c>
      <c r="F38" s="2">
        <f t="shared" si="0"/>
        <v>13796036.41</v>
      </c>
      <c r="G38" s="5">
        <f t="shared" si="1"/>
        <v>0.11123613002990038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A6336-D434-42AC-8907-9CFF0B636495}">
  <dimension ref="A1:D32"/>
  <sheetViews>
    <sheetView workbookViewId="0">
      <selection activeCell="G13" sqref="G13:G14"/>
    </sheetView>
  </sheetViews>
  <sheetFormatPr baseColWidth="10" defaultRowHeight="14.5" x14ac:dyDescent="0.35"/>
  <cols>
    <col min="2" max="2" width="18.90625" customWidth="1"/>
    <col min="3" max="3" width="21.36328125" customWidth="1"/>
  </cols>
  <sheetData>
    <row r="1" spans="1:3" x14ac:dyDescent="0.35">
      <c r="A1" s="1" t="s">
        <v>84</v>
      </c>
      <c r="B1" s="4" t="s">
        <v>88</v>
      </c>
    </row>
    <row r="2" spans="1:3" x14ac:dyDescent="0.35">
      <c r="A2" t="s">
        <v>94</v>
      </c>
    </row>
    <row r="3" spans="1:3" x14ac:dyDescent="0.35">
      <c r="A3" t="s">
        <v>79</v>
      </c>
      <c r="B3" t="s">
        <v>90</v>
      </c>
    </row>
    <row r="4" spans="1:3" x14ac:dyDescent="0.35">
      <c r="A4">
        <v>2014</v>
      </c>
      <c r="B4" t="s">
        <v>91</v>
      </c>
    </row>
    <row r="5" spans="1:3" x14ac:dyDescent="0.35">
      <c r="A5">
        <v>2022</v>
      </c>
      <c r="B5" t="s">
        <v>92</v>
      </c>
    </row>
    <row r="6" spans="1:3" x14ac:dyDescent="0.35">
      <c r="A6">
        <v>2023</v>
      </c>
      <c r="B6" t="s">
        <v>93</v>
      </c>
    </row>
    <row r="8" spans="1:3" x14ac:dyDescent="0.35">
      <c r="A8" s="1" t="s">
        <v>81</v>
      </c>
    </row>
    <row r="9" spans="1:3" x14ac:dyDescent="0.35">
      <c r="A9" s="13" t="s">
        <v>82</v>
      </c>
    </row>
    <row r="10" spans="1:3" x14ac:dyDescent="0.35">
      <c r="A10" t="s">
        <v>80</v>
      </c>
    </row>
    <row r="11" spans="1:3" x14ac:dyDescent="0.35">
      <c r="A11" s="1" t="s">
        <v>34</v>
      </c>
      <c r="B11" s="1" t="s">
        <v>83</v>
      </c>
      <c r="C11" s="6" t="s">
        <v>77</v>
      </c>
    </row>
    <row r="12" spans="1:3" x14ac:dyDescent="0.35">
      <c r="A12" t="s">
        <v>37</v>
      </c>
      <c r="B12" s="3">
        <v>591481.82999999996</v>
      </c>
      <c r="C12" s="2">
        <v>474528</v>
      </c>
    </row>
    <row r="13" spans="1:3" x14ac:dyDescent="0.35">
      <c r="A13" t="s">
        <v>38</v>
      </c>
      <c r="B13" s="3">
        <v>104457.63982000001</v>
      </c>
      <c r="C13" s="2">
        <v>166522</v>
      </c>
    </row>
    <row r="14" spans="1:3" x14ac:dyDescent="0.35">
      <c r="A14" t="s">
        <v>39</v>
      </c>
      <c r="B14" s="3">
        <v>4027306.5777000003</v>
      </c>
      <c r="C14" s="2">
        <v>4813724</v>
      </c>
    </row>
    <row r="15" spans="1:3" x14ac:dyDescent="0.35">
      <c r="A15" t="s">
        <v>76</v>
      </c>
      <c r="B15" s="3">
        <v>266748.06900000002</v>
      </c>
      <c r="C15" s="2">
        <v>234399</v>
      </c>
    </row>
    <row r="16" spans="1:3" x14ac:dyDescent="0.35">
      <c r="B16" s="3">
        <v>342091.94328000001</v>
      </c>
      <c r="C16" s="2">
        <v>724626</v>
      </c>
    </row>
    <row r="18" spans="1:4" x14ac:dyDescent="0.35">
      <c r="A18" s="13" t="s">
        <v>85</v>
      </c>
    </row>
    <row r="19" spans="1:4" x14ac:dyDescent="0.35">
      <c r="A19" t="s">
        <v>89</v>
      </c>
    </row>
    <row r="21" spans="1:4" x14ac:dyDescent="0.35">
      <c r="A21" s="13" t="s">
        <v>86</v>
      </c>
    </row>
    <row r="22" spans="1:4" x14ac:dyDescent="0.35">
      <c r="A22" t="s">
        <v>74</v>
      </c>
      <c r="B22">
        <v>2014</v>
      </c>
      <c r="C22">
        <v>2022</v>
      </c>
      <c r="D22">
        <v>2023</v>
      </c>
    </row>
    <row r="23" spans="1:4" x14ac:dyDescent="0.35">
      <c r="A23" t="s">
        <v>87</v>
      </c>
      <c r="B23" s="2">
        <v>13796036.41</v>
      </c>
      <c r="C23" s="2">
        <v>68492496.819999993</v>
      </c>
      <c r="D23" s="2">
        <v>86663904</v>
      </c>
    </row>
    <row r="26" spans="1:4" x14ac:dyDescent="0.35">
      <c r="A26" s="13" t="s">
        <v>138</v>
      </c>
    </row>
    <row r="27" spans="1:4" x14ac:dyDescent="0.35">
      <c r="A27" t="s">
        <v>139</v>
      </c>
    </row>
    <row r="29" spans="1:4" x14ac:dyDescent="0.35">
      <c r="A29" t="s">
        <v>140</v>
      </c>
    </row>
    <row r="30" spans="1:4" x14ac:dyDescent="0.35">
      <c r="A30" t="s">
        <v>129</v>
      </c>
    </row>
    <row r="31" spans="1:4" x14ac:dyDescent="0.35">
      <c r="A31" t="s">
        <v>131</v>
      </c>
    </row>
    <row r="32" spans="1:4" x14ac:dyDescent="0.35">
      <c r="A32" t="s">
        <v>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15F97-0381-43F4-8DDD-8639C58235AB}">
  <dimension ref="A1:AA34"/>
  <sheetViews>
    <sheetView workbookViewId="0">
      <selection activeCell="K32" sqref="K32"/>
    </sheetView>
  </sheetViews>
  <sheetFormatPr baseColWidth="10" defaultRowHeight="14.5" x14ac:dyDescent="0.35"/>
  <sheetData>
    <row r="1" spans="1:27" x14ac:dyDescent="0.35">
      <c r="B1">
        <v>2014</v>
      </c>
    </row>
    <row r="2" spans="1:27" x14ac:dyDescent="0.35">
      <c r="B2" t="s">
        <v>34</v>
      </c>
      <c r="D2" t="s">
        <v>95</v>
      </c>
      <c r="E2" t="s">
        <v>96</v>
      </c>
      <c r="F2" t="s">
        <v>34</v>
      </c>
      <c r="G2" s="1" t="s">
        <v>128</v>
      </c>
      <c r="P2" t="s">
        <v>132</v>
      </c>
    </row>
    <row r="3" spans="1:27" x14ac:dyDescent="0.35">
      <c r="A3">
        <v>1</v>
      </c>
      <c r="B3" t="s">
        <v>63</v>
      </c>
      <c r="C3" t="s">
        <v>63</v>
      </c>
      <c r="D3">
        <v>1</v>
      </c>
      <c r="E3" t="s">
        <v>121</v>
      </c>
      <c r="F3" t="s">
        <v>26</v>
      </c>
      <c r="G3" s="3">
        <v>211861.25</v>
      </c>
      <c r="H3" t="s">
        <v>63</v>
      </c>
      <c r="I3" t="s">
        <v>63</v>
      </c>
      <c r="O3" t="s">
        <v>63</v>
      </c>
      <c r="P3" s="3">
        <f>'AC+coolers'!C2-'AC+coolers'!B2</f>
        <v>30001.537272243775</v>
      </c>
      <c r="Q3" s="3">
        <f>'AC+coolers'!D2-'AC+coolers'!C2</f>
        <v>40311.044614549101</v>
      </c>
      <c r="R3" s="3">
        <f>'AC+coolers'!E2-'AC+coolers'!D2</f>
        <v>54241.660240553902</v>
      </c>
      <c r="S3" s="3">
        <f>'AC+coolers'!F2-'AC+coolers'!E2</f>
        <v>72697.065320732014</v>
      </c>
      <c r="T3" s="3">
        <f>'AC+coolers'!G2-'AC+coolers'!F2</f>
        <v>97783.524040524266</v>
      </c>
      <c r="U3" s="3">
        <f>'AC+coolers'!H2-'AC+coolers'!G2</f>
        <v>131385.1341815131</v>
      </c>
      <c r="V3" s="3">
        <f>'AC+coolers'!I2-'AC+coolers'!H2</f>
        <v>176533.35419513326</v>
      </c>
      <c r="W3" s="3">
        <f>'AC+coolers'!J2-'AC+coolers'!I2</f>
        <v>237195.97607085586</v>
      </c>
      <c r="X3" s="3">
        <f>'AC+coolers'!K2-'AC+coolers'!J2</f>
        <v>318704.25461930642</v>
      </c>
      <c r="Y3" s="3">
        <f>'AC+coolers'!L2-'AC+coolers'!K2</f>
        <v>428221.43779583299</v>
      </c>
      <c r="Z3" s="3">
        <f>'AC+coolers'!M2-'AC+coolers'!L2</f>
        <v>567888.2237761023</v>
      </c>
      <c r="AA3" s="3">
        <f>'AC+coolers'!N2-'AC+coolers'!M2</f>
        <v>789539.7799999998</v>
      </c>
    </row>
    <row r="4" spans="1:27" x14ac:dyDescent="0.35">
      <c r="A4">
        <v>2</v>
      </c>
      <c r="B4" t="s">
        <v>48</v>
      </c>
      <c r="C4" t="s">
        <v>48</v>
      </c>
      <c r="D4">
        <v>2</v>
      </c>
      <c r="E4" s="8" t="s">
        <v>108</v>
      </c>
      <c r="F4" s="8" t="s">
        <v>11</v>
      </c>
      <c r="G4" s="9">
        <v>2066.12</v>
      </c>
      <c r="H4" t="s">
        <v>48</v>
      </c>
      <c r="I4" t="s">
        <v>48</v>
      </c>
      <c r="O4" t="s">
        <v>48</v>
      </c>
      <c r="P4" s="3">
        <f>'AC+coolers'!C3-'AC+coolers'!B3</f>
        <v>139.05061430089609</v>
      </c>
      <c r="Q4" s="3">
        <f>'AC+coolers'!D3-'AC+coolers'!C3</f>
        <v>150.73049437543796</v>
      </c>
      <c r="R4" s="3">
        <f>'AC+coolers'!E3-'AC+coolers'!D3</f>
        <v>120.92177966245094</v>
      </c>
      <c r="S4" s="3">
        <f>'AC+coolers'!F3-'AC+coolers'!E3</f>
        <v>219.58557217891712</v>
      </c>
      <c r="T4" s="3">
        <f>'AC+coolers'!G3-'AC+coolers'!F3</f>
        <v>191.9931609281939</v>
      </c>
      <c r="U4" s="3">
        <f>'AC+coolers'!H3-'AC+coolers'!G3</f>
        <v>208.12007346323207</v>
      </c>
      <c r="V4" s="3">
        <f>'AC+coolers'!I3-'AC+coolers'!H3</f>
        <v>225.60160356185497</v>
      </c>
      <c r="W4" s="3">
        <f>'AC+coolers'!J3-'AC+coolers'!I3</f>
        <v>244.55153548035014</v>
      </c>
      <c r="X4" s="3">
        <f>'AC+coolers'!K3-'AC+coolers'!J3</f>
        <v>265.09321104784385</v>
      </c>
      <c r="Y4" s="3">
        <f>'AC+coolers'!L3-'AC+coolers'!K3</f>
        <v>287.36033247827527</v>
      </c>
      <c r="Z4" s="3">
        <f>'AC+coolers'!M3-'AC+coolers'!L3</f>
        <v>1119.3445108613332</v>
      </c>
      <c r="AA4" s="3">
        <f>'AC+coolers'!N3-'AC+coolers'!M3</f>
        <v>-1124.7700000000004</v>
      </c>
    </row>
    <row r="5" spans="1:27" x14ac:dyDescent="0.35">
      <c r="A5">
        <v>4</v>
      </c>
      <c r="B5" t="s">
        <v>46</v>
      </c>
      <c r="C5" t="s">
        <v>46</v>
      </c>
      <c r="D5">
        <v>4</v>
      </c>
      <c r="E5" s="8" t="s">
        <v>106</v>
      </c>
      <c r="F5" s="8" t="s">
        <v>9</v>
      </c>
      <c r="G5" s="9">
        <v>71588.08</v>
      </c>
      <c r="H5" t="s">
        <v>46</v>
      </c>
      <c r="I5" t="s">
        <v>54</v>
      </c>
      <c r="O5" t="s">
        <v>54</v>
      </c>
      <c r="P5" s="3">
        <f>'AC+coolers'!C4-'AC+coolers'!B4</f>
        <v>1392.1948618737779</v>
      </c>
      <c r="Q5" s="3">
        <f>'AC+coolers'!D4-'AC+coolers'!C4</f>
        <v>1718.3418640556738</v>
      </c>
      <c r="R5" s="3">
        <f>'AC+coolers'!E4-'AC+coolers'!D4</f>
        <v>2086.3392010105235</v>
      </c>
      <c r="S5" s="3">
        <f>'AC+coolers'!F4-'AC+coolers'!E4</f>
        <v>2652.3085027704001</v>
      </c>
      <c r="T5" s="3">
        <f>'AC+coolers'!G4-'AC+coolers'!F4</f>
        <v>3231.0092702801685</v>
      </c>
      <c r="U5" s="3">
        <f>'AC+coolers'!H4-'AC+coolers'!G4</f>
        <v>3987.9320376173819</v>
      </c>
      <c r="V5" s="3">
        <f>'AC+coolers'!I4-'AC+coolers'!H4</f>
        <v>4922.1777489002998</v>
      </c>
      <c r="W5" s="3">
        <f>'AC+coolers'!J4-'AC+coolers'!I4</f>
        <v>6075.2875332947115</v>
      </c>
      <c r="X5" s="3">
        <f>'AC+coolers'!K4-'AC+coolers'!J4</f>
        <v>7498.5342860590899</v>
      </c>
      <c r="Y5" s="3">
        <f>'AC+coolers'!L4-'AC+coolers'!K4</f>
        <v>9255.2025119888567</v>
      </c>
      <c r="Z5" s="3">
        <f>'AC+coolers'!M4-'AC+coolers'!L4</f>
        <v>13124.683109089092</v>
      </c>
      <c r="AA5" s="3">
        <f>'AC+coolers'!N4-'AC+coolers'!M4</f>
        <v>10580.25</v>
      </c>
    </row>
    <row r="6" spans="1:27" x14ac:dyDescent="0.35">
      <c r="A6">
        <v>5</v>
      </c>
      <c r="B6" t="s">
        <v>40</v>
      </c>
      <c r="C6" t="s">
        <v>40</v>
      </c>
      <c r="D6">
        <v>5</v>
      </c>
      <c r="E6" s="8" t="s">
        <v>100</v>
      </c>
      <c r="F6" s="8" t="s">
        <v>3</v>
      </c>
      <c r="G6" s="9">
        <v>17034.95</v>
      </c>
      <c r="H6" t="s">
        <v>40</v>
      </c>
      <c r="I6" t="s">
        <v>46</v>
      </c>
      <c r="O6" t="s">
        <v>46</v>
      </c>
      <c r="P6" s="3">
        <f>'AC+coolers'!C5-'AC+coolers'!B5</f>
        <v>9497.7066791600228</v>
      </c>
      <c r="Q6" s="3">
        <f>'AC+coolers'!D5-'AC+coolers'!C5</f>
        <v>12211.359024778518</v>
      </c>
      <c r="R6" s="3">
        <f>'AC+coolers'!E5-'AC+coolers'!D5</f>
        <v>16637.308773609664</v>
      </c>
      <c r="S6" s="3">
        <f>'AC+coolers'!F5-'AC+coolers'!E5</f>
        <v>19249.234479410661</v>
      </c>
      <c r="T6" s="3">
        <f>'AC+coolers'!G5-'AC+coolers'!F5</f>
        <v>25953.727550632131</v>
      </c>
      <c r="U6" s="3">
        <f>'AC+coolers'!H5-'AC+coolers'!G5</f>
        <v>33369.138030706497</v>
      </c>
      <c r="V6" s="3">
        <f>'AC+coolers'!I5-'AC+coolers'!H5</f>
        <v>42903.254291317804</v>
      </c>
      <c r="W6" s="3">
        <f>'AC+coolers'!J5-'AC+coolers'!I5</f>
        <v>55161.425718927814</v>
      </c>
      <c r="X6" s="3">
        <f>'AC+coolers'!K5-'AC+coolers'!J5</f>
        <v>70921.96006121047</v>
      </c>
      <c r="Y6" s="3">
        <f>'AC+coolers'!L5-'AC+coolers'!K5</f>
        <v>91185.540499871538</v>
      </c>
      <c r="Z6" s="3">
        <f>'AC+coolers'!M5-'AC+coolers'!L5</f>
        <v>58249.999367923068</v>
      </c>
      <c r="AA6" s="3">
        <f>'AC+coolers'!N5-'AC+coolers'!M5</f>
        <v>285119.64</v>
      </c>
    </row>
    <row r="7" spans="1:27" x14ac:dyDescent="0.35">
      <c r="A7">
        <v>6</v>
      </c>
      <c r="B7" t="s">
        <v>58</v>
      </c>
      <c r="C7" t="s">
        <v>58</v>
      </c>
      <c r="D7">
        <v>6</v>
      </c>
      <c r="E7" t="s">
        <v>117</v>
      </c>
      <c r="F7" t="s">
        <v>20</v>
      </c>
      <c r="G7" s="3">
        <v>387364.67</v>
      </c>
      <c r="H7" t="s">
        <v>58</v>
      </c>
      <c r="I7" t="s">
        <v>40</v>
      </c>
      <c r="O7" t="s">
        <v>40</v>
      </c>
      <c r="P7" s="3">
        <f>'AC+coolers'!C6-'AC+coolers'!B6</f>
        <v>2427.6650160961426</v>
      </c>
      <c r="Q7" s="3">
        <f>'AC+coolers'!D6-'AC+coolers'!C6</f>
        <v>3262.9934206987218</v>
      </c>
      <c r="R7" s="3">
        <f>'AC+coolers'!E6-'AC+coolers'!D6</f>
        <v>4288.9138244569403</v>
      </c>
      <c r="S7" s="3">
        <f>'AC+coolers'!F6-'AC+coolers'!E6</f>
        <v>5991.660934809508</v>
      </c>
      <c r="T7" s="3">
        <f>'AC+coolers'!G6-'AC+coolers'!F6</f>
        <v>7923.1615762662404</v>
      </c>
      <c r="U7" s="3">
        <f>'AC+coolers'!H6-'AC+coolers'!G6</f>
        <v>10649.419884158273</v>
      </c>
      <c r="V7" s="3">
        <f>'AC+coolers'!I6-'AC+coolers'!H6</f>
        <v>14313.74871981344</v>
      </c>
      <c r="W7" s="3">
        <f>'AC+coolers'!J6-'AC+coolers'!I6</f>
        <v>19238.926123908372</v>
      </c>
      <c r="X7" s="3">
        <f>'AC+coolers'!K6-'AC+coolers'!J6</f>
        <v>25858.793922305966</v>
      </c>
      <c r="Y7" s="3">
        <f>'AC+coolers'!L6-'AC+coolers'!K6</f>
        <v>34756.473350433909</v>
      </c>
      <c r="Z7" s="3">
        <f>'AC+coolers'!M6-'AC+coolers'!L6</f>
        <v>56266.6254883043</v>
      </c>
      <c r="AA7" s="3">
        <f>'AC+coolers'!N6-'AC+coolers'!M6</f>
        <v>42365.239999999991</v>
      </c>
    </row>
    <row r="8" spans="1:27" x14ac:dyDescent="0.35">
      <c r="A8">
        <v>7</v>
      </c>
      <c r="B8" t="s">
        <v>43</v>
      </c>
      <c r="C8" t="s">
        <v>43</v>
      </c>
      <c r="D8">
        <v>7</v>
      </c>
      <c r="E8" s="8" t="s">
        <v>103</v>
      </c>
      <c r="F8" s="8" t="s">
        <v>6</v>
      </c>
      <c r="G8" s="9">
        <v>2759405.15</v>
      </c>
      <c r="H8" t="s">
        <v>43</v>
      </c>
      <c r="I8" t="s">
        <v>58</v>
      </c>
      <c r="O8" t="s">
        <v>58</v>
      </c>
      <c r="P8" s="3">
        <f>'AC+coolers'!C7-'AC+coolers'!B7</f>
        <v>52699.220178859716</v>
      </c>
      <c r="Q8" s="3">
        <f>'AC+coolers'!D7-'AC+coolers'!C7</f>
        <v>68121.04281037068</v>
      </c>
      <c r="R8" s="3">
        <f>'AC+coolers'!E7-'AC+coolers'!D7</f>
        <v>86461.425004133198</v>
      </c>
      <c r="S8" s="3">
        <f>'AC+coolers'!F7-'AC+coolers'!E7</f>
        <v>115418.89033501252</v>
      </c>
      <c r="T8" s="3">
        <f>'AC+coolers'!G7-'AC+coolers'!F7</f>
        <v>147133.84492616507</v>
      </c>
      <c r="U8" s="3">
        <f>'AC+coolers'!H7-'AC+coolers'!G7</f>
        <v>190190.87787356717</v>
      </c>
      <c r="V8" s="3">
        <f>'AC+coolers'!I7-'AC+coolers'!H7</f>
        <v>245848.05789905321</v>
      </c>
      <c r="W8" s="3">
        <f>'AC+coolers'!J7-'AC+coolers'!I7</f>
        <v>317792.67359455395</v>
      </c>
      <c r="X8" s="3">
        <f>'AC+coolers'!K7-'AC+coolers'!J7</f>
        <v>410791.05628665513</v>
      </c>
      <c r="Y8" s="3">
        <f>'AC+coolers'!L7-'AC+coolers'!K7</f>
        <v>531004.34952254174</v>
      </c>
      <c r="Z8" s="3">
        <f>'AC+coolers'!M7-'AC+coolers'!L7</f>
        <v>800583.81956245145</v>
      </c>
      <c r="AA8" s="3">
        <f>'AC+coolers'!N7-'AC+coolers'!M7</f>
        <v>646376.75999999978</v>
      </c>
    </row>
    <row r="9" spans="1:27" x14ac:dyDescent="0.35">
      <c r="A9">
        <v>8</v>
      </c>
      <c r="B9" t="s">
        <v>65</v>
      </c>
      <c r="C9" t="s">
        <v>65</v>
      </c>
      <c r="D9">
        <v>8</v>
      </c>
      <c r="E9" t="s">
        <v>123</v>
      </c>
      <c r="F9" t="s">
        <v>28</v>
      </c>
      <c r="G9" s="3">
        <v>2461.92</v>
      </c>
      <c r="H9" t="s">
        <v>65</v>
      </c>
      <c r="I9" t="s">
        <v>43</v>
      </c>
      <c r="O9" t="s">
        <v>43</v>
      </c>
      <c r="P9" s="3">
        <f>'AC+coolers'!C8-'AC+coolers'!B8</f>
        <v>33514.36216848297</v>
      </c>
      <c r="Q9" s="3">
        <f>'AC+coolers'!D8-'AC+coolers'!C8</f>
        <v>33943.01207466796</v>
      </c>
      <c r="R9" s="3">
        <f>'AC+coolers'!E8-'AC+coolers'!D8</f>
        <v>71598.499157209881</v>
      </c>
      <c r="S9" s="3">
        <f>'AC+coolers'!F8-'AC+coolers'!E8</f>
        <v>-2404.5253773517907</v>
      </c>
      <c r="T9" s="3">
        <f>'AC+coolers'!G8-'AC+coolers'!F8</f>
        <v>35262.137859831098</v>
      </c>
      <c r="U9" s="3">
        <f>'AC+coolers'!H8-'AC+coolers'!G8</f>
        <v>35713.141880400013</v>
      </c>
      <c r="V9" s="3">
        <f>'AC+coolers'!I8-'AC+coolers'!H8</f>
        <v>36169.91425874969</v>
      </c>
      <c r="W9" s="3">
        <f>'AC+coolers'!J8-'AC+coolers'!I8</f>
        <v>36632.528772347141</v>
      </c>
      <c r="X9" s="3">
        <f>'AC+coolers'!K8-'AC+coolers'!J8</f>
        <v>37101.06014233781</v>
      </c>
      <c r="Y9" s="3">
        <f>'AC+coolers'!L8-'AC+coolers'!K8</f>
        <v>37575.584045534953</v>
      </c>
      <c r="Z9" s="3">
        <f>'AC+coolers'!M8-'AC+coolers'!L8</f>
        <v>-308654.23158184905</v>
      </c>
      <c r="AA9" s="3">
        <f>'AC+coolers'!N8-'AC+coolers'!M8</f>
        <v>735529.24000000022</v>
      </c>
    </row>
    <row r="10" spans="1:27" x14ac:dyDescent="0.35">
      <c r="A10">
        <v>9</v>
      </c>
      <c r="B10" t="s">
        <v>60</v>
      </c>
      <c r="C10" t="s">
        <v>60</v>
      </c>
      <c r="D10">
        <v>9</v>
      </c>
      <c r="E10" t="s">
        <v>119</v>
      </c>
      <c r="F10" t="s">
        <v>22</v>
      </c>
      <c r="G10" s="3">
        <v>229560.18</v>
      </c>
      <c r="H10" t="s">
        <v>60</v>
      </c>
      <c r="I10" t="s">
        <v>65</v>
      </c>
      <c r="O10" t="s">
        <v>65</v>
      </c>
      <c r="P10" s="3">
        <f>'AC+coolers'!C9-'AC+coolers'!B9</f>
        <v>369.81415581385227</v>
      </c>
      <c r="Q10" s="3">
        <f>'AC+coolers'!D9-'AC+coolers'!C9</f>
        <v>579.55366098146192</v>
      </c>
      <c r="R10" s="3">
        <f>'AC+coolers'!E9-'AC+coolers'!D9</f>
        <v>860.49328885848217</v>
      </c>
      <c r="S10" s="3">
        <f>'AC+coolers'!F9-'AC+coolers'!E9</f>
        <v>1471.110487574193</v>
      </c>
      <c r="T10" s="3">
        <f>'AC+coolers'!G9-'AC+coolers'!F9</f>
        <v>2230.6119311665871</v>
      </c>
      <c r="U10" s="3">
        <f>'AC+coolers'!H9-'AC+coolers'!G9</f>
        <v>3495.6999093012064</v>
      </c>
      <c r="V10" s="3">
        <f>'AC+coolers'!I9-'AC+coolers'!H9</f>
        <v>5478.2805046214926</v>
      </c>
      <c r="W10" s="3">
        <f>'AC+coolers'!J9-'AC+coolers'!I9</f>
        <v>8585.27850387342</v>
      </c>
      <c r="X10" s="3">
        <f>'AC+coolers'!K9-'AC+coolers'!J9</f>
        <v>13454.405433765514</v>
      </c>
      <c r="Y10" s="3">
        <f>'AC+coolers'!L9-'AC+coolers'!K9</f>
        <v>21085.049890282244</v>
      </c>
      <c r="Z10" s="3">
        <f>'AC+coolers'!M9-'AC+coolers'!L9</f>
        <v>50277.053339415346</v>
      </c>
      <c r="AA10" s="3">
        <f>'AC+coolers'!N9-'AC+coolers'!M9</f>
        <v>14165.589999999997</v>
      </c>
    </row>
    <row r="11" spans="1:27" x14ac:dyDescent="0.35">
      <c r="A11">
        <v>10</v>
      </c>
      <c r="B11" t="s">
        <v>38</v>
      </c>
      <c r="C11" t="s">
        <v>38</v>
      </c>
      <c r="D11">
        <v>10</v>
      </c>
      <c r="E11" s="8" t="s">
        <v>98</v>
      </c>
      <c r="F11" s="8" t="s">
        <v>1</v>
      </c>
      <c r="G11" s="9">
        <v>7640.66</v>
      </c>
      <c r="H11" t="s">
        <v>38</v>
      </c>
      <c r="I11" t="s">
        <v>60</v>
      </c>
      <c r="O11" t="s">
        <v>60</v>
      </c>
      <c r="P11" s="3">
        <f>'AC+coolers'!C10-'AC+coolers'!B10</f>
        <v>32571.072578555046</v>
      </c>
      <c r="Q11" s="3">
        <f>'AC+coolers'!D10-'AC+coolers'!C10</f>
        <v>43767.264799583398</v>
      </c>
      <c r="R11" s="3">
        <f>'AC+coolers'!E10-'AC+coolers'!D10</f>
        <v>58468.666901713994</v>
      </c>
      <c r="S11" s="3">
        <f>'AC+coolers'!F10-'AC+coolers'!E10</f>
        <v>79372.007568218221</v>
      </c>
      <c r="T11" s="3">
        <f>'AC+coolers'!G10-'AC+coolers'!F10</f>
        <v>106194.35841232887</v>
      </c>
      <c r="U11" s="3">
        <f>'AC+coolers'!H10-'AC+coolers'!G10</f>
        <v>142698.29750457895</v>
      </c>
      <c r="V11" s="3">
        <f>'AC+coolers'!I10-'AC+coolers'!H10</f>
        <v>191750.33791932045</v>
      </c>
      <c r="W11" s="3">
        <f>'AC+coolers'!J10-'AC+coolers'!I10</f>
        <v>257663.84557605546</v>
      </c>
      <c r="X11" s="3">
        <f>'AC+coolers'!K10-'AC+coolers'!J10</f>
        <v>346234.89083500102</v>
      </c>
      <c r="Y11" s="3">
        <f>'AC+coolers'!L10-'AC+coolers'!K10</f>
        <v>465251.92295963014</v>
      </c>
      <c r="Z11" s="3">
        <f>'AC+coolers'!M10-'AC+coolers'!L10</f>
        <v>658284.92922486691</v>
      </c>
      <c r="AA11" s="3">
        <f>'AC+coolers'!N10-'AC+coolers'!M10</f>
        <v>767938.23</v>
      </c>
    </row>
    <row r="12" spans="1:27" x14ac:dyDescent="0.35">
      <c r="A12">
        <v>11</v>
      </c>
      <c r="B12" t="s">
        <v>42</v>
      </c>
      <c r="C12" t="s">
        <v>42</v>
      </c>
      <c r="D12">
        <v>11</v>
      </c>
      <c r="E12" s="8" t="s">
        <v>102</v>
      </c>
      <c r="F12" s="8" t="s">
        <v>5</v>
      </c>
      <c r="G12" s="9">
        <v>2117093.2999999998</v>
      </c>
      <c r="H12" t="s">
        <v>42</v>
      </c>
      <c r="I12" t="s">
        <v>38</v>
      </c>
      <c r="O12" t="s">
        <v>38</v>
      </c>
      <c r="P12" s="3">
        <f>'AC+coolers'!C11-'AC+coolers'!B11</f>
        <v>1124.9147919494849</v>
      </c>
      <c r="Q12" s="3">
        <f>'AC+coolers'!D11-'AC+coolers'!C11</f>
        <v>1590.8302890509249</v>
      </c>
      <c r="R12" s="3">
        <f>'AC+coolers'!E11-'AC+coolers'!D11</f>
        <v>2208.9003261869211</v>
      </c>
      <c r="S12" s="3">
        <f>'AC+coolers'!F11-'AC+coolers'!E11</f>
        <v>3222.3203507454709</v>
      </c>
      <c r="T12" s="3">
        <f>'AC+coolers'!G11-'AC+coolers'!F11</f>
        <v>4499.2126749051695</v>
      </c>
      <c r="U12" s="3">
        <f>'AC+coolers'!H11-'AC+coolers'!G11</f>
        <v>6362.6897355663696</v>
      </c>
      <c r="V12" s="3">
        <f>'AC+coolers'!I11-'AC+coolers'!H11</f>
        <v>8997.9788901441716</v>
      </c>
      <c r="W12" s="3">
        <f>'AC+coolers'!J11-'AC+coolers'!I11</f>
        <v>12724.748097484739</v>
      </c>
      <c r="X12" s="3">
        <f>'AC+coolers'!K11-'AC+coolers'!J11</f>
        <v>17995.064905263382</v>
      </c>
      <c r="Y12" s="3">
        <f>'AC+coolers'!L11-'AC+coolers'!K11</f>
        <v>25448.233510325081</v>
      </c>
      <c r="Z12" s="3">
        <f>'AC+coolers'!M11-'AC+coolers'!L11</f>
        <v>42024.141835565621</v>
      </c>
      <c r="AA12" s="3">
        <f>'AC+coolers'!N11-'AC+coolers'!M11</f>
        <v>37606.949999999997</v>
      </c>
    </row>
    <row r="13" spans="1:27" x14ac:dyDescent="0.35">
      <c r="A13">
        <v>12</v>
      </c>
      <c r="B13" t="s">
        <v>56</v>
      </c>
      <c r="C13" t="s">
        <v>56</v>
      </c>
      <c r="D13">
        <v>12</v>
      </c>
      <c r="E13" t="s">
        <v>115</v>
      </c>
      <c r="F13" t="s">
        <v>18</v>
      </c>
      <c r="G13" s="3">
        <v>95151.38</v>
      </c>
      <c r="H13" t="s">
        <v>56</v>
      </c>
      <c r="I13" t="s">
        <v>42</v>
      </c>
      <c r="O13" t="s">
        <v>42</v>
      </c>
      <c r="P13" s="3">
        <f>'AC+coolers'!C12-'AC+coolers'!B12</f>
        <v>132208.6580708141</v>
      </c>
      <c r="Q13" s="3">
        <f>'AC+coolers'!D12-'AC+coolers'!C12</f>
        <v>142723.28730388382</v>
      </c>
      <c r="R13" s="3">
        <f>'AC+coolers'!E12-'AC+coolers'!D12</f>
        <v>179798.48081977991</v>
      </c>
      <c r="S13" s="3">
        <f>'AC+coolers'!F12-'AC+coolers'!E12</f>
        <v>140603.42528285319</v>
      </c>
      <c r="T13" s="3">
        <f>'AC+coolers'!G12-'AC+coolers'!F12</f>
        <v>179555.89545693714</v>
      </c>
      <c r="U13" s="3">
        <f>'AC+coolers'!H12-'AC+coolers'!G12</f>
        <v>193836.07721576188</v>
      </c>
      <c r="V13" s="3">
        <f>'AC+coolers'!I12-'AC+coolers'!H12</f>
        <v>209251.96989371814</v>
      </c>
      <c r="W13" s="3">
        <f>'AC+coolers'!J12-'AC+coolers'!I12</f>
        <v>225893.89722152986</v>
      </c>
      <c r="X13" s="3">
        <f>'AC+coolers'!K12-'AC+coolers'!J12</f>
        <v>243859.36642722599</v>
      </c>
      <c r="Y13" s="3">
        <f>'AC+coolers'!L12-'AC+coolers'!K12</f>
        <v>263253.63954374194</v>
      </c>
      <c r="Z13" s="3">
        <f>'AC+coolers'!M12-'AC+coolers'!L12</f>
        <v>-117726.09104176797</v>
      </c>
      <c r="AA13" s="3">
        <f>'AC+coolers'!N12-'AC+coolers'!M12</f>
        <v>1136568.52</v>
      </c>
    </row>
    <row r="14" spans="1:27" x14ac:dyDescent="0.35">
      <c r="A14">
        <v>13</v>
      </c>
      <c r="B14" t="s">
        <v>37</v>
      </c>
      <c r="C14" t="s">
        <v>37</v>
      </c>
      <c r="D14">
        <v>13</v>
      </c>
      <c r="E14" s="8" t="s">
        <v>97</v>
      </c>
      <c r="F14" s="8" t="s">
        <v>0</v>
      </c>
      <c r="G14" s="9">
        <v>85053.13</v>
      </c>
      <c r="H14" t="s">
        <v>37</v>
      </c>
      <c r="I14" t="s">
        <v>56</v>
      </c>
      <c r="O14" t="s">
        <v>56</v>
      </c>
      <c r="P14" s="3">
        <f>'AC+coolers'!C13-'AC+coolers'!B13</f>
        <v>11175.56210456822</v>
      </c>
      <c r="Q14" s="3">
        <f>'AC+coolers'!D13-'AC+coolers'!C13</f>
        <v>13584.364546362151</v>
      </c>
      <c r="R14" s="3">
        <f>'AC+coolers'!E13-'AC+coolers'!D13</f>
        <v>18542.789388142177</v>
      </c>
      <c r="S14" s="3">
        <f>'AC+coolers'!F13-'AC+coolers'!E13</f>
        <v>18041.047869660892</v>
      </c>
      <c r="T14" s="3">
        <f>'AC+coolers'!G13-'AC+coolers'!F13</f>
        <v>24397.716561752313</v>
      </c>
      <c r="U14" s="3">
        <f>'AC+coolers'!H13-'AC+coolers'!G13</f>
        <v>29656.44795067489</v>
      </c>
      <c r="V14" s="3">
        <f>'AC+coolers'!I13-'AC+coolers'!H13</f>
        <v>36048.656554621004</v>
      </c>
      <c r="W14" s="3">
        <f>'AC+coolers'!J13-'AC+coolers'!I13</f>
        <v>43818.654262103199</v>
      </c>
      <c r="X14" s="3">
        <f>'AC+coolers'!K13-'AC+coolers'!J13</f>
        <v>53263.412422386085</v>
      </c>
      <c r="Y14" s="3">
        <f>'AC+coolers'!L13-'AC+coolers'!K13</f>
        <v>64743.91216824454</v>
      </c>
      <c r="Z14" s="3">
        <f>'AC+coolers'!M13-'AC+coolers'!L13</f>
        <v>387.73221055709291</v>
      </c>
      <c r="AA14" s="3">
        <f>'AC+coolers'!N13-'AC+coolers'!M13</f>
        <v>275580.03999999998</v>
      </c>
    </row>
    <row r="15" spans="1:27" x14ac:dyDescent="0.35">
      <c r="A15">
        <v>14</v>
      </c>
      <c r="B15" t="s">
        <v>64</v>
      </c>
      <c r="C15" t="s">
        <v>64</v>
      </c>
      <c r="D15">
        <v>14</v>
      </c>
      <c r="E15" t="s">
        <v>122</v>
      </c>
      <c r="F15" t="s">
        <v>27</v>
      </c>
      <c r="G15" s="3">
        <v>57295.46</v>
      </c>
      <c r="H15" t="s">
        <v>64</v>
      </c>
      <c r="I15" t="s">
        <v>37</v>
      </c>
      <c r="O15" t="s">
        <v>37</v>
      </c>
      <c r="P15" s="3">
        <f>'AC+coolers'!C14-'AC+coolers'!B14</f>
        <v>10585.430579888722</v>
      </c>
      <c r="Q15" s="3">
        <f>'AC+coolers'!D14-'AC+coolers'!C14</f>
        <v>12971.795068469313</v>
      </c>
      <c r="R15" s="3">
        <f>'AC+coolers'!E14-'AC+coolers'!D14</f>
        <v>14541.073646755278</v>
      </c>
      <c r="S15" s="3">
        <f>'AC+coolers'!F14-'AC+coolers'!E14</f>
        <v>20834.805629281997</v>
      </c>
      <c r="T15" s="3">
        <f>'AC+coolers'!G14-'AC+coolers'!F14</f>
        <v>23871.226347214601</v>
      </c>
      <c r="U15" s="3">
        <f>'AC+coolers'!H14-'AC+coolers'!G14</f>
        <v>29252.721830458409</v>
      </c>
      <c r="V15" s="3">
        <f>'AC+coolers'!I14-'AC+coolers'!H14</f>
        <v>35847.414039130177</v>
      </c>
      <c r="W15" s="3">
        <f>'AC+coolers'!J14-'AC+coolers'!I14</f>
        <v>43928.804325990001</v>
      </c>
      <c r="X15" s="3">
        <f>'AC+coolers'!K14-'AC+coolers'!J14</f>
        <v>53832.051801707828</v>
      </c>
      <c r="Y15" s="3">
        <f>'AC+coolers'!L14-'AC+coolers'!K14</f>
        <v>65967.87337245181</v>
      </c>
      <c r="Z15" s="3">
        <f>'AC+coolers'!M14-'AC+coolers'!L14</f>
        <v>148016.43265376519</v>
      </c>
      <c r="AA15" s="3">
        <f>'AC+coolers'!N14-'AC+coolers'!M14</f>
        <v>-32076.460000000021</v>
      </c>
    </row>
    <row r="16" spans="1:27" x14ac:dyDescent="0.35">
      <c r="A16">
        <v>15</v>
      </c>
      <c r="B16" t="s">
        <v>67</v>
      </c>
      <c r="C16" t="s">
        <v>67</v>
      </c>
      <c r="D16">
        <v>15</v>
      </c>
      <c r="E16" t="s">
        <v>124</v>
      </c>
      <c r="F16" t="s">
        <v>30</v>
      </c>
      <c r="G16" s="3">
        <v>119429.27</v>
      </c>
      <c r="H16" t="s">
        <v>67</v>
      </c>
      <c r="I16" t="s">
        <v>64</v>
      </c>
      <c r="O16" t="s">
        <v>64</v>
      </c>
      <c r="P16" s="3">
        <f>'AC+coolers'!C15-'AC+coolers'!B15</f>
        <v>7935.1961828647873</v>
      </c>
      <c r="Q16" s="3">
        <f>'AC+coolers'!D15-'AC+coolers'!C15</f>
        <v>10563.330041170982</v>
      </c>
      <c r="R16" s="3">
        <f>'AC+coolers'!E15-'AC+coolers'!D15</f>
        <v>14837.979683293248</v>
      </c>
      <c r="S16" s="3">
        <f>'AC+coolers'!F15-'AC+coolers'!E15</f>
        <v>17943.117939208176</v>
      </c>
      <c r="T16" s="3">
        <f>'AC+coolers'!G15-'AC+coolers'!F15</f>
        <v>24918.987454882721</v>
      </c>
      <c r="U16" s="3">
        <f>'AC+coolers'!H15-'AC+coolers'!G15</f>
        <v>33172.146310148906</v>
      </c>
      <c r="V16" s="3">
        <f>'AC+coolers'!I15-'AC+coolers'!H15</f>
        <v>44158.748135883885</v>
      </c>
      <c r="W16" s="3">
        <f>'AC+coolers'!J15-'AC+coolers'!I15</f>
        <v>58784.108170094725</v>
      </c>
      <c r="X16" s="3">
        <f>'AC+coolers'!K15-'AC+coolers'!J15</f>
        <v>78253.381701827602</v>
      </c>
      <c r="Y16" s="3">
        <f>'AC+coolers'!L15-'AC+coolers'!K15</f>
        <v>104170.87097847991</v>
      </c>
      <c r="Z16" s="3">
        <f>'AC+coolers'!M15-'AC+coolers'!L15</f>
        <v>74292.519309474097</v>
      </c>
      <c r="AA16" s="3">
        <f>'AC+coolers'!N15-'AC+coolers'!M15</f>
        <v>334511.65999999997</v>
      </c>
    </row>
    <row r="17" spans="1:27" x14ac:dyDescent="0.35">
      <c r="A17">
        <v>16</v>
      </c>
      <c r="B17" t="s">
        <v>62</v>
      </c>
      <c r="C17" t="s">
        <v>62</v>
      </c>
      <c r="D17">
        <v>16</v>
      </c>
      <c r="E17" t="s">
        <v>120</v>
      </c>
      <c r="F17" t="s">
        <v>25</v>
      </c>
      <c r="G17" s="3">
        <v>1439637.74</v>
      </c>
      <c r="H17" t="s">
        <v>62</v>
      </c>
      <c r="I17" t="s">
        <v>67</v>
      </c>
      <c r="O17" t="s">
        <v>67</v>
      </c>
      <c r="P17" s="3">
        <f>'AC+coolers'!C16-'AC+coolers'!B16</f>
        <v>16977.511225785733</v>
      </c>
      <c r="Q17" s="3">
        <f>'AC+coolers'!D16-'AC+coolers'!C16</f>
        <v>22852.010457289172</v>
      </c>
      <c r="R17" s="3">
        <f>'AC+coolers'!E16-'AC+coolers'!D16</f>
        <v>30534.138456011176</v>
      </c>
      <c r="S17" s="3">
        <f>'AC+coolers'!F16-'AC+coolers'!E16</f>
        <v>41627.413787765385</v>
      </c>
      <c r="T17" s="3">
        <f>'AC+coolers'!G16-'AC+coolers'!F16</f>
        <v>55728.272098230198</v>
      </c>
      <c r="U17" s="3">
        <f>'AC+coolers'!H16-'AC+coolers'!G16</f>
        <v>75011.174477785302</v>
      </c>
      <c r="V17" s="3">
        <f>'AC+coolers'!I16-'AC+coolers'!H16</f>
        <v>100966.27949663211</v>
      </c>
      <c r="W17" s="3">
        <f>'AC+coolers'!J16-'AC+coolers'!I16</f>
        <v>135902.27944529668</v>
      </c>
      <c r="X17" s="3">
        <f>'AC+coolers'!K16-'AC+coolers'!J16</f>
        <v>182926.71226960816</v>
      </c>
      <c r="Y17" s="3">
        <f>'AC+coolers'!L16-'AC+coolers'!K16</f>
        <v>246222.37535951717</v>
      </c>
      <c r="Z17" s="3">
        <f>'AC+coolers'!M16-'AC+coolers'!L16</f>
        <v>353449.05306516506</v>
      </c>
      <c r="AA17" s="3">
        <f>'AC+coolers'!N16-'AC+coolers'!M16</f>
        <v>398127.16999999993</v>
      </c>
    </row>
    <row r="18" spans="1:27" x14ac:dyDescent="0.35">
      <c r="A18">
        <v>17</v>
      </c>
      <c r="B18" t="s">
        <v>53</v>
      </c>
      <c r="C18" t="s">
        <v>53</v>
      </c>
      <c r="D18">
        <v>17</v>
      </c>
      <c r="E18" s="8" t="s">
        <v>113</v>
      </c>
      <c r="F18" s="8" t="s">
        <v>16</v>
      </c>
      <c r="G18" s="9">
        <v>230.42</v>
      </c>
      <c r="H18" t="s">
        <v>53</v>
      </c>
      <c r="I18" t="s">
        <v>62</v>
      </c>
      <c r="O18" t="s">
        <v>62</v>
      </c>
      <c r="P18" s="3">
        <f>'AC+coolers'!C17-'AC+coolers'!B17</f>
        <v>182441.9811559323</v>
      </c>
      <c r="Q18" s="3">
        <f>'AC+coolers'!D17-'AC+coolers'!C17</f>
        <v>226748.60311362916</v>
      </c>
      <c r="R18" s="3">
        <f>'AC+coolers'!E17-'AC+coolers'!D17</f>
        <v>279203.32315317588</v>
      </c>
      <c r="S18" s="3">
        <f>'AC+coolers'!F17-'AC+coolers'!E17</f>
        <v>352866.873559186</v>
      </c>
      <c r="T18" s="3">
        <f>'AC+coolers'!G17-'AC+coolers'!F17</f>
        <v>435315.51108628698</v>
      </c>
      <c r="U18" s="3">
        <f>'AC+coolers'!H17-'AC+coolers'!G17</f>
        <v>541033.28316851612</v>
      </c>
      <c r="V18" s="3">
        <f>'AC+coolers'!I17-'AC+coolers'!H17</f>
        <v>672424.95624726173</v>
      </c>
      <c r="W18" s="3">
        <f>'AC+coolers'!J17-'AC+coolers'!I17</f>
        <v>835725.51976166805</v>
      </c>
      <c r="X18" s="3">
        <f>'AC+coolers'!K17-'AC+coolers'!J17</f>
        <v>1038684.1503897365</v>
      </c>
      <c r="Y18" s="3">
        <f>'AC+coolers'!L17-'AC+coolers'!K17</f>
        <v>1290931.9372929661</v>
      </c>
      <c r="Z18" s="3">
        <f>'AC+coolers'!M17-'AC+coolers'!L17</f>
        <v>1739490.5584943788</v>
      </c>
      <c r="AA18" s="3">
        <f>'AC+coolers'!N17-'AC+coolers'!M17</f>
        <v>1712112.4699999997</v>
      </c>
    </row>
    <row r="19" spans="1:27" x14ac:dyDescent="0.35">
      <c r="A19">
        <v>18</v>
      </c>
      <c r="B19" t="s">
        <v>50</v>
      </c>
      <c r="C19" t="s">
        <v>50</v>
      </c>
      <c r="D19">
        <v>18</v>
      </c>
      <c r="E19" s="8" t="s">
        <v>110</v>
      </c>
      <c r="F19" s="8" t="s">
        <v>13</v>
      </c>
      <c r="G19" s="9">
        <v>2137.91</v>
      </c>
      <c r="H19" t="s">
        <v>50</v>
      </c>
      <c r="I19" t="s">
        <v>53</v>
      </c>
      <c r="O19" t="s">
        <v>53</v>
      </c>
      <c r="P19" s="3">
        <f>'AC+coolers'!C18-'AC+coolers'!B18</f>
        <v>20.403785389186396</v>
      </c>
      <c r="Q19" s="3">
        <f>'AC+coolers'!D18-'AC+coolers'!C18</f>
        <v>23.095258036565696</v>
      </c>
      <c r="R19" s="3">
        <f>'AC+coolers'!E18-'AC+coolers'!D18</f>
        <v>32.241896909942</v>
      </c>
      <c r="S19" s="3">
        <f>'AC+coolers'!F18-'AC+coolers'!E18</f>
        <v>23.4900032648805</v>
      </c>
      <c r="T19" s="3">
        <f>'AC+coolers'!G18-'AC+coolers'!F18</f>
        <v>33.493384469932522</v>
      </c>
      <c r="U19" s="3">
        <f>'AC+coolers'!H18-'AC+coolers'!G18</f>
        <v>37.911512108962313</v>
      </c>
      <c r="V19" s="3">
        <f>'AC+coolers'!I18-'AC+coolers'!H18</f>
        <v>42.912436982242355</v>
      </c>
      <c r="W19" s="3">
        <f>'AC+coolers'!J18-'AC+coolers'!I18</f>
        <v>48.573036139057137</v>
      </c>
      <c r="X19" s="3">
        <f>'AC+coolers'!K18-'AC+coolers'!J18</f>
        <v>54.980327515364991</v>
      </c>
      <c r="Y19" s="3">
        <f>'AC+coolers'!L18-'AC+coolers'!K18</f>
        <v>62.232807622790574</v>
      </c>
      <c r="Z19" s="3">
        <f>'AC+coolers'!M18-'AC+coolers'!L18</f>
        <v>-59.233508103230406</v>
      </c>
      <c r="AA19" s="3">
        <f>'AC+coolers'!N18-'AC+coolers'!M18</f>
        <v>373.22</v>
      </c>
    </row>
    <row r="20" spans="1:27" x14ac:dyDescent="0.35">
      <c r="A20">
        <v>19</v>
      </c>
      <c r="B20" t="s">
        <v>59</v>
      </c>
      <c r="C20" t="s">
        <v>59</v>
      </c>
      <c r="D20">
        <v>19</v>
      </c>
      <c r="E20" t="s">
        <v>118</v>
      </c>
      <c r="F20" t="s">
        <v>21</v>
      </c>
      <c r="G20" s="3">
        <v>1061383.8500000001</v>
      </c>
      <c r="H20" t="s">
        <v>59</v>
      </c>
      <c r="I20" t="s">
        <v>50</v>
      </c>
      <c r="O20" t="s">
        <v>50</v>
      </c>
      <c r="P20" s="3">
        <f>'AC+coolers'!C19-'AC+coolers'!B19</f>
        <v>271.32575000388692</v>
      </c>
      <c r="Q20" s="3">
        <f>'AC+coolers'!D19-'AC+coolers'!C19</f>
        <v>340.54944250017593</v>
      </c>
      <c r="R20" s="3">
        <f>'AC+coolers'!E19-'AC+coolers'!D19</f>
        <v>462.55986184465291</v>
      </c>
      <c r="S20" s="3">
        <f>'AC+coolers'!F19-'AC+coolers'!E19</f>
        <v>501.36053184899129</v>
      </c>
      <c r="T20" s="3">
        <f>'AC+coolers'!G19-'AC+coolers'!F19</f>
        <v>673.36053326459478</v>
      </c>
      <c r="U20" s="3">
        <f>'AC+coolers'!H19-'AC+coolers'!G19</f>
        <v>845.15588439926296</v>
      </c>
      <c r="V20" s="3">
        <f>'AC+coolers'!I19-'AC+coolers'!H19</f>
        <v>1060.7816075463734</v>
      </c>
      <c r="W20" s="3">
        <f>'AC+coolers'!J19-'AC+coolers'!I19</f>
        <v>1331.4202026862613</v>
      </c>
      <c r="X20" s="3">
        <f>'AC+coolers'!K19-'AC+coolers'!J19</f>
        <v>1671.107175606383</v>
      </c>
      <c r="Y20" s="3">
        <f>'AC+coolers'!L19-'AC+coolers'!K19</f>
        <v>2097.4589289904034</v>
      </c>
      <c r="Z20" s="3">
        <f>'AC+coolers'!M19-'AC+coolers'!L19</f>
        <v>838.66513565772948</v>
      </c>
      <c r="AA20" s="3">
        <f>'AC+coolers'!N19-'AC+coolers'!M19</f>
        <v>7401.7800000000007</v>
      </c>
    </row>
    <row r="21" spans="1:27" x14ac:dyDescent="0.35">
      <c r="A21">
        <v>20</v>
      </c>
      <c r="B21" t="s">
        <v>51</v>
      </c>
      <c r="C21" t="s">
        <v>51</v>
      </c>
      <c r="D21">
        <v>20</v>
      </c>
      <c r="E21" s="8" t="s">
        <v>111</v>
      </c>
      <c r="F21" s="8" t="s">
        <v>14</v>
      </c>
      <c r="G21" s="9">
        <v>17.82</v>
      </c>
      <c r="H21" t="s">
        <v>51</v>
      </c>
      <c r="I21" t="s">
        <v>59</v>
      </c>
      <c r="O21" t="s">
        <v>59</v>
      </c>
      <c r="P21" s="3">
        <f>'AC+coolers'!C20-'AC+coolers'!B20</f>
        <v>143705.45363085758</v>
      </c>
      <c r="Q21" s="3">
        <f>'AC+coolers'!D20-'AC+coolers'!C20</f>
        <v>185606.06973698724</v>
      </c>
      <c r="R21" s="3">
        <f>'AC+coolers'!E20-'AC+coolers'!D20</f>
        <v>239209.4686995399</v>
      </c>
      <c r="S21" s="3">
        <f>'AC+coolers'!F20-'AC+coolers'!E20</f>
        <v>310135.02667560987</v>
      </c>
      <c r="T21" s="3">
        <f>'AC+coolers'!G20-'AC+coolers'!F20</f>
        <v>399897.73861778714</v>
      </c>
      <c r="U21" s="3">
        <f>'AC+coolers'!H20-'AC+coolers'!G20</f>
        <v>516497.0826522531</v>
      </c>
      <c r="V21" s="3">
        <f>'AC+coolers'!I20-'AC+coolers'!H20</f>
        <v>667093.63576446287</v>
      </c>
      <c r="W21" s="3">
        <f>'AC+coolers'!J20-'AC+coolers'!I20</f>
        <v>861600.06285436312</v>
      </c>
      <c r="X21" s="3">
        <f>'AC+coolers'!K20-'AC+coolers'!J20</f>
        <v>1112819.2932914635</v>
      </c>
      <c r="Y21" s="3">
        <f>'AC+coolers'!L20-'AC+coolers'!K20</f>
        <v>1437287.2437109035</v>
      </c>
      <c r="Z21" s="3">
        <f>'AC+coolers'!M20-'AC+coolers'!L20</f>
        <v>1892291.8064331571</v>
      </c>
      <c r="AA21" s="3">
        <f>'AC+coolers'!N20-'AC+coolers'!M20</f>
        <v>2320614.2599999998</v>
      </c>
    </row>
    <row r="22" spans="1:27" x14ac:dyDescent="0.35">
      <c r="A22">
        <v>21</v>
      </c>
      <c r="B22" t="s">
        <v>49</v>
      </c>
      <c r="C22" t="s">
        <v>49</v>
      </c>
      <c r="D22">
        <v>21</v>
      </c>
      <c r="E22" s="8" t="s">
        <v>109</v>
      </c>
      <c r="F22" s="8" t="s">
        <v>12</v>
      </c>
      <c r="G22" s="9">
        <v>3128.94</v>
      </c>
      <c r="H22" t="s">
        <v>49</v>
      </c>
      <c r="I22" t="s">
        <v>51</v>
      </c>
      <c r="O22" t="s">
        <v>51</v>
      </c>
      <c r="P22" s="3">
        <f>'AC+coolers'!C21-'AC+coolers'!B21</f>
        <v>2.0346662214377034</v>
      </c>
      <c r="Q22" s="3">
        <f>'AC+coolers'!D21-'AC+coolers'!C21</f>
        <v>4.51636899007433</v>
      </c>
      <c r="R22" s="3">
        <f>'AC+coolers'!E21-'AC+coolers'!D21</f>
        <v>9.6008090830672508</v>
      </c>
      <c r="S22" s="3">
        <f>'AC+coolers'!F21-'AC+coolers'!E21</f>
        <v>22.676878744282142</v>
      </c>
      <c r="T22" s="3">
        <f>'AC+coolers'!G21-'AC+coolers'!F21</f>
        <v>49.394448603865968</v>
      </c>
      <c r="U22" s="3">
        <f>'AC+coolers'!H21-'AC+coolers'!G21</f>
        <v>109.64135227973108</v>
      </c>
      <c r="V22" s="3">
        <f>'AC+coolers'!I21-'AC+coolers'!H21</f>
        <v>243.37200777644091</v>
      </c>
      <c r="W22" s="3">
        <f>'AC+coolers'!J21-'AC+coolers'!I21</f>
        <v>540.21528317149364</v>
      </c>
      <c r="X22" s="3">
        <f>'AC+coolers'!K21-'AC+coolers'!J21</f>
        <v>1199.1212746216315</v>
      </c>
      <c r="Y22" s="3">
        <f>'AC+coolers'!L21-'AC+coolers'!K21</f>
        <v>2661.7015031648816</v>
      </c>
      <c r="Z22" s="3">
        <f>'AC+coolers'!M21-'AC+coolers'!L21</f>
        <v>8443.8772516376739</v>
      </c>
      <c r="AA22" s="3">
        <f>'AC+coolers'!N21-'AC+coolers'!M21</f>
        <v>6484.18</v>
      </c>
    </row>
    <row r="23" spans="1:27" x14ac:dyDescent="0.35">
      <c r="A23">
        <v>22</v>
      </c>
      <c r="B23" t="s">
        <v>57</v>
      </c>
      <c r="C23" t="s">
        <v>57</v>
      </c>
      <c r="D23">
        <v>22</v>
      </c>
      <c r="E23" t="s">
        <v>116</v>
      </c>
      <c r="F23" t="s">
        <v>19</v>
      </c>
      <c r="G23" s="3">
        <v>260707.42</v>
      </c>
      <c r="H23" t="s">
        <v>57</v>
      </c>
      <c r="I23" t="s">
        <v>49</v>
      </c>
      <c r="O23" t="s">
        <v>49</v>
      </c>
      <c r="P23" s="3">
        <f>'AC+coolers'!C22-'AC+coolers'!B22</f>
        <v>355.16716257996882</v>
      </c>
      <c r="Q23" s="3">
        <f>'AC+coolers'!D22-'AC+coolers'!C22</f>
        <v>424.83171167956107</v>
      </c>
      <c r="R23" s="3">
        <f>'AC+coolers'!E22-'AC+coolers'!D22</f>
        <v>538.21077572019021</v>
      </c>
      <c r="S23" s="3">
        <f>'AC+coolers'!F22-'AC+coolers'!E22</f>
        <v>577.78414777953776</v>
      </c>
      <c r="T23" s="3">
        <f>'AC+coolers'!G22-'AC+coolers'!F22</f>
        <v>727.05839277436917</v>
      </c>
      <c r="U23" s="3">
        <f>'AC+coolers'!H22-'AC+coolers'!G22</f>
        <v>869.66784668299806</v>
      </c>
      <c r="V23" s="3">
        <f>'AC+coolers'!I22-'AC+coolers'!H22</f>
        <v>1040.2495467629833</v>
      </c>
      <c r="W23" s="3">
        <f>'AC+coolers'!J22-'AC+coolers'!I22</f>
        <v>1244.2901317649248</v>
      </c>
      <c r="X23" s="3">
        <f>'AC+coolers'!K22-'AC+coolers'!J22</f>
        <v>1488.3524216140222</v>
      </c>
      <c r="Y23" s="3">
        <f>'AC+coolers'!L22-'AC+coolers'!K22</f>
        <v>1780.2865058346542</v>
      </c>
      <c r="Z23" s="3">
        <f>'AC+coolers'!M22-'AC+coolers'!L22</f>
        <v>1049.1910067865101</v>
      </c>
      <c r="AA23" s="3">
        <f>'AC+coolers'!N22-'AC+coolers'!M22</f>
        <v>4874.18</v>
      </c>
    </row>
    <row r="24" spans="1:27" x14ac:dyDescent="0.35">
      <c r="A24">
        <v>23</v>
      </c>
      <c r="B24" t="s">
        <v>39</v>
      </c>
      <c r="C24" t="s">
        <v>39</v>
      </c>
      <c r="D24">
        <v>23</v>
      </c>
      <c r="E24" s="8" t="s">
        <v>99</v>
      </c>
      <c r="F24" s="8" t="s">
        <v>2</v>
      </c>
      <c r="G24" s="9">
        <v>940996.74</v>
      </c>
      <c r="H24" t="s">
        <v>39</v>
      </c>
      <c r="I24" t="s">
        <v>57</v>
      </c>
      <c r="O24" t="s">
        <v>57</v>
      </c>
      <c r="P24" s="3">
        <f>'AC+coolers'!C23-'AC+coolers'!B23</f>
        <v>31968.966922789608</v>
      </c>
      <c r="Q24" s="3">
        <f>'AC+coolers'!D23-'AC+coolers'!C23</f>
        <v>39358.5913127893</v>
      </c>
      <c r="R24" s="3">
        <f>'AC+coolers'!E23-'AC+coolers'!D23</f>
        <v>51075.830033999315</v>
      </c>
      <c r="S24" s="3">
        <f>'AC+coolers'!F23-'AC+coolers'!E23</f>
        <v>57037.500099875004</v>
      </c>
      <c r="T24" s="3">
        <f>'AC+coolers'!G23-'AC+coolers'!F23</f>
        <v>73446.715279855474</v>
      </c>
      <c r="U24" s="3">
        <f>'AC+coolers'!H23-'AC+coolers'!G23</f>
        <v>90423.918200034124</v>
      </c>
      <c r="V24" s="3">
        <f>'AC+coolers'!I23-'AC+coolers'!H23</f>
        <v>111325.40034627035</v>
      </c>
      <c r="W24" s="3">
        <f>'AC+coolers'!J23-'AC+coolers'!I23</f>
        <v>137058.2585775709</v>
      </c>
      <c r="X24" s="3">
        <f>'AC+coolers'!K23-'AC+coolers'!J23</f>
        <v>168739.26512625942</v>
      </c>
      <c r="Y24" s="3">
        <f>'AC+coolers'!L23-'AC+coolers'!K23</f>
        <v>207743.33404538268</v>
      </c>
      <c r="Z24" s="3">
        <f>'AC+coolers'!M23-'AC+coolers'!L23</f>
        <v>137413.2583247521</v>
      </c>
      <c r="AA24" s="3">
        <f>'AC+coolers'!N23-'AC+coolers'!M23</f>
        <v>574347.92999999993</v>
      </c>
    </row>
    <row r="25" spans="1:27" x14ac:dyDescent="0.35">
      <c r="A25">
        <v>24</v>
      </c>
      <c r="B25" t="s">
        <v>69</v>
      </c>
      <c r="C25" t="s">
        <v>69</v>
      </c>
      <c r="D25">
        <v>24</v>
      </c>
      <c r="E25" t="s">
        <v>126</v>
      </c>
      <c r="F25" t="s">
        <v>32</v>
      </c>
      <c r="G25" s="3">
        <v>7248.24</v>
      </c>
      <c r="H25" t="s">
        <v>69</v>
      </c>
      <c r="I25" t="s">
        <v>39</v>
      </c>
      <c r="O25" t="s">
        <v>39</v>
      </c>
      <c r="P25" s="3">
        <f>'AC+coolers'!C24-'AC+coolers'!B24</f>
        <v>108159.28665898449</v>
      </c>
      <c r="Q25" s="3">
        <f>'AC+coolers'!D24-'AC+coolers'!C24</f>
        <v>129545.83927013807</v>
      </c>
      <c r="R25" s="3">
        <f>'AC+coolers'!E24-'AC+coolers'!D24</f>
        <v>156292.22135646059</v>
      </c>
      <c r="S25" s="3">
        <f>'AC+coolers'!F24-'AC+coolers'!E24</f>
        <v>184710.50900440104</v>
      </c>
      <c r="T25" s="3">
        <f>'AC+coolers'!G24-'AC+coolers'!F24</f>
        <v>222588.35139637697</v>
      </c>
      <c r="U25" s="3">
        <f>'AC+coolers'!H24-'AC+coolers'!G24</f>
        <v>266601.19240924297</v>
      </c>
      <c r="V25" s="3">
        <f>'AC+coolers'!I24-'AC+coolers'!H24</f>
        <v>319316.78072144603</v>
      </c>
      <c r="W25" s="3">
        <f>'AC+coolers'!J24-'AC+coolers'!I24</f>
        <v>382455.92800595984</v>
      </c>
      <c r="X25" s="3">
        <f>'AC+coolers'!K24-'AC+coolers'!J24</f>
        <v>458079.70547719905</v>
      </c>
      <c r="Y25" s="3">
        <f>'AC+coolers'!L24-'AC+coolers'!K24</f>
        <v>548656.72409433918</v>
      </c>
      <c r="Z25" s="3">
        <f>'AC+coolers'!M24-'AC+coolers'!L24</f>
        <v>614290.648891035</v>
      </c>
      <c r="AA25" s="3">
        <f>'AC+coolers'!N24-'AC+coolers'!M24</f>
        <v>876027.41999999993</v>
      </c>
    </row>
    <row r="26" spans="1:27" x14ac:dyDescent="0.35">
      <c r="A26">
        <v>25</v>
      </c>
      <c r="B26" t="s">
        <v>44</v>
      </c>
      <c r="C26" t="s">
        <v>44</v>
      </c>
      <c r="D26">
        <v>25</v>
      </c>
      <c r="E26" s="8" t="s">
        <v>104</v>
      </c>
      <c r="F26" s="8" t="s">
        <v>7</v>
      </c>
      <c r="G26" s="9">
        <v>1602787.32</v>
      </c>
      <c r="H26" t="s">
        <v>44</v>
      </c>
      <c r="I26" t="s">
        <v>69</v>
      </c>
      <c r="O26" t="s">
        <v>69</v>
      </c>
      <c r="P26" s="3">
        <f>'AC+coolers'!C25-'AC+coolers'!B25</f>
        <v>1082.0147880241288</v>
      </c>
      <c r="Q26" s="3">
        <f>'AC+coolers'!D25-'AC+coolers'!C25</f>
        <v>1536.6920377353417</v>
      </c>
      <c r="R26" s="3">
        <f>'AC+coolers'!E25-'AC+coolers'!D25</f>
        <v>2054.6165663686752</v>
      </c>
      <c r="S26" s="3">
        <f>'AC+coolers'!F25-'AC+coolers'!E25</f>
        <v>3227.3320196538698</v>
      </c>
      <c r="T26" s="3">
        <f>'AC+coolers'!G25-'AC+coolers'!F25</f>
        <v>4401.9770596164399</v>
      </c>
      <c r="U26" s="3">
        <f>'AC+coolers'!H25-'AC+coolers'!G25</f>
        <v>6251.7473630456298</v>
      </c>
      <c r="V26" s="3">
        <f>'AC+coolers'!I25-'AC+coolers'!H25</f>
        <v>8878.8161687406609</v>
      </c>
      <c r="W26" s="3">
        <f>'AC+coolers'!J25-'AC+coolers'!I25</f>
        <v>12609.814821417513</v>
      </c>
      <c r="X26" s="3">
        <f>'AC+coolers'!K25-'AC+coolers'!J25</f>
        <v>17908.629574993647</v>
      </c>
      <c r="Y26" s="3">
        <f>'AC+coolers'!L25-'AC+coolers'!K25</f>
        <v>25434.077962001676</v>
      </c>
      <c r="Z26" s="3">
        <f>'AC+coolers'!M25-'AC+coolers'!L25</f>
        <v>56921.22503053055</v>
      </c>
      <c r="AA26" s="3">
        <f>'AC+coolers'!N25-'AC+coolers'!M25</f>
        <v>7874.140000000014</v>
      </c>
    </row>
    <row r="27" spans="1:27" x14ac:dyDescent="0.35">
      <c r="A27">
        <v>26</v>
      </c>
      <c r="B27" t="s">
        <v>47</v>
      </c>
      <c r="C27" t="s">
        <v>47</v>
      </c>
      <c r="D27">
        <v>26</v>
      </c>
      <c r="E27" s="8" t="s">
        <v>107</v>
      </c>
      <c r="F27" s="8" t="s">
        <v>10</v>
      </c>
      <c r="G27" s="9">
        <v>29.3</v>
      </c>
      <c r="H27" t="s">
        <v>47</v>
      </c>
      <c r="I27" t="s">
        <v>44</v>
      </c>
      <c r="O27" t="s">
        <v>44</v>
      </c>
      <c r="P27" s="3">
        <f>'AC+coolers'!C26-'AC+coolers'!B26</f>
        <v>200926.05392375693</v>
      </c>
      <c r="Q27" s="3">
        <f>'AC+coolers'!D26-'AC+coolers'!C26</f>
        <v>248129.99387342995</v>
      </c>
      <c r="R27" s="3">
        <f>'AC+coolers'!E26-'AC+coolers'!D26</f>
        <v>298478.95241023204</v>
      </c>
      <c r="S27" s="3">
        <f>'AC+coolers'!F26-'AC+coolers'!E26</f>
        <v>386357.02769071399</v>
      </c>
      <c r="T27" s="3">
        <f>'AC+coolers'!G26-'AC+coolers'!F26</f>
        <v>467313.46436238708</v>
      </c>
      <c r="U27" s="3">
        <f>'AC+coolers'!H26-'AC+coolers'!G26</f>
        <v>577100.30523573188</v>
      </c>
      <c r="V27" s="3">
        <f>'AC+coolers'!I26-'AC+coolers'!H26</f>
        <v>712679.57741763117</v>
      </c>
      <c r="W27" s="3">
        <f>'AC+coolers'!J26-'AC+coolers'!I26</f>
        <v>880110.74584439769</v>
      </c>
      <c r="X27" s="3">
        <f>'AC+coolers'!K26-'AC+coolers'!J26</f>
        <v>1086876.8370734965</v>
      </c>
      <c r="Y27" s="3">
        <f>'AC+coolers'!L26-'AC+coolers'!K26</f>
        <v>1342218.8793231482</v>
      </c>
      <c r="Z27" s="3">
        <f>'AC+coolers'!M26-'AC+coolers'!L26</f>
        <v>2054042.3930524942</v>
      </c>
      <c r="AA27" s="3">
        <f>'AC+coolers'!N26-'AC+coolers'!M26</f>
        <v>1233149.4499999993</v>
      </c>
    </row>
    <row r="28" spans="1:27" x14ac:dyDescent="0.35">
      <c r="A28">
        <v>27</v>
      </c>
      <c r="B28" t="s">
        <v>71</v>
      </c>
      <c r="C28" t="s">
        <v>71</v>
      </c>
      <c r="D28">
        <v>27</v>
      </c>
      <c r="E28" t="s">
        <v>127</v>
      </c>
      <c r="F28" t="s">
        <v>72</v>
      </c>
      <c r="G28" s="3">
        <v>414793.91</v>
      </c>
      <c r="H28" t="s">
        <v>71</v>
      </c>
      <c r="I28" t="s">
        <v>47</v>
      </c>
      <c r="O28" t="s">
        <v>47</v>
      </c>
      <c r="P28" s="3">
        <f>'AC+coolers'!C27-'AC+coolers'!B27</f>
        <v>4.3266387354132174</v>
      </c>
      <c r="Q28" s="3">
        <f>'AC+coolers'!D27-'AC+coolers'!C27</f>
        <v>6.3640171589403405</v>
      </c>
      <c r="R28" s="3">
        <f>'AC+coolers'!E27-'AC+coolers'!D27</f>
        <v>9.4211626020889909</v>
      </c>
      <c r="S28" s="3">
        <f>'AC+coolers'!F27-'AC+coolers'!E27</f>
        <v>13.708311942851839</v>
      </c>
      <c r="T28" s="3">
        <f>'AC+coolers'!G27-'AC+coolers'!F27</f>
        <v>20.252258656916752</v>
      </c>
      <c r="U28" s="3">
        <f>'AC+coolers'!H27-'AC+coolers'!G27</f>
        <v>29.788879886115545</v>
      </c>
      <c r="V28" s="3">
        <f>'AC+coolers'!I27-'AC+coolers'!H27</f>
        <v>43.816217237916959</v>
      </c>
      <c r="W28" s="3">
        <f>'AC+coolers'!J27-'AC+coolers'!I27</f>
        <v>64.448911821421802</v>
      </c>
      <c r="X28" s="3">
        <f>'AC+coolers'!K27-'AC+coolers'!J27</f>
        <v>94.797371767945492</v>
      </c>
      <c r="Y28" s="3">
        <f>'AC+coolers'!L27-'AC+coolers'!K27</f>
        <v>139.43667069205242</v>
      </c>
      <c r="Z28" s="3">
        <f>'AC+coolers'!M27-'AC+coolers'!L27</f>
        <v>193.31137799477921</v>
      </c>
      <c r="AA28" s="3">
        <f>'AC+coolers'!N27-'AC+coolers'!M27</f>
        <v>329.14</v>
      </c>
    </row>
    <row r="29" spans="1:27" x14ac:dyDescent="0.35">
      <c r="A29">
        <v>28</v>
      </c>
      <c r="B29" t="s">
        <v>68</v>
      </c>
      <c r="C29" t="s">
        <v>68</v>
      </c>
      <c r="D29">
        <v>28</v>
      </c>
      <c r="E29" t="s">
        <v>125</v>
      </c>
      <c r="F29" t="s">
        <v>31</v>
      </c>
      <c r="G29" s="3">
        <v>209742.17</v>
      </c>
      <c r="H29" t="s">
        <v>68</v>
      </c>
      <c r="I29" t="s">
        <v>71</v>
      </c>
      <c r="O29" t="s">
        <v>71</v>
      </c>
      <c r="P29" s="3">
        <f>'AC+coolers'!C28-'AC+coolers'!B28</f>
        <v>59101.335142133699</v>
      </c>
      <c r="Q29" s="3">
        <f>'AC+coolers'!D28-'AC+coolers'!C28</f>
        <v>79257.571501184197</v>
      </c>
      <c r="R29" s="3">
        <f>'AC+coolers'!E28-'AC+coolers'!D28</f>
        <v>103140.35879302019</v>
      </c>
      <c r="S29" s="3">
        <f>'AC+coolers'!F28-'AC+coolers'!E28</f>
        <v>145684.66811463103</v>
      </c>
      <c r="T29" s="3">
        <f>'AC+coolers'!G28-'AC+coolers'!F28</f>
        <v>191148.62071211031</v>
      </c>
      <c r="U29" s="3">
        <f>'AC+coolers'!H28-'AC+coolers'!G28</f>
        <v>256338.97164942871</v>
      </c>
      <c r="V29" s="3">
        <f>'AC+coolers'!I28-'AC+coolers'!H28</f>
        <v>343762.18955433904</v>
      </c>
      <c r="W29" s="3">
        <f>'AC+coolers'!J28-'AC+coolers'!I28</f>
        <v>461000.69063554704</v>
      </c>
      <c r="X29" s="3">
        <f>'AC+coolers'!K28-'AC+coolers'!J28</f>
        <v>618222.83899800107</v>
      </c>
      <c r="Y29" s="3">
        <f>'AC+coolers'!L28-'AC+coolers'!K28</f>
        <v>829064.8721841746</v>
      </c>
      <c r="Z29" s="3">
        <f>'AC+coolers'!M28-'AC+coolers'!L28</f>
        <v>1419617.3781517679</v>
      </c>
      <c r="AA29" s="3">
        <f>'AC+coolers'!N28-'AC+coolers'!M28</f>
        <v>839123.86000000034</v>
      </c>
    </row>
    <row r="30" spans="1:27" x14ac:dyDescent="0.35">
      <c r="A30">
        <v>29</v>
      </c>
      <c r="B30" t="s">
        <v>52</v>
      </c>
      <c r="C30" t="s">
        <v>52</v>
      </c>
      <c r="D30">
        <v>29</v>
      </c>
      <c r="E30" s="8" t="s">
        <v>112</v>
      </c>
      <c r="F30" s="8" t="s">
        <v>15</v>
      </c>
      <c r="G30" s="9">
        <v>181</v>
      </c>
      <c r="H30" t="s">
        <v>52</v>
      </c>
      <c r="I30" t="s">
        <v>68</v>
      </c>
      <c r="O30" t="s">
        <v>68</v>
      </c>
      <c r="P30" s="3">
        <f>'AC+coolers'!C29-'AC+coolers'!B29</f>
        <v>30185.841949897513</v>
      </c>
      <c r="Q30" s="3">
        <f>'AC+coolers'!D29-'AC+coolers'!C29</f>
        <v>40524.894557767111</v>
      </c>
      <c r="R30" s="3">
        <f>'AC+coolers'!E29-'AC+coolers'!D29</f>
        <v>50901.012961440108</v>
      </c>
      <c r="S30" s="3">
        <f>'AC+coolers'!F29-'AC+coolers'!E29</f>
        <v>76543.916204552312</v>
      </c>
      <c r="T30" s="3">
        <f>'AC+coolers'!G29-'AC+coolers'!F29</f>
        <v>98056.794675067358</v>
      </c>
      <c r="U30" s="3">
        <f>'AC+coolers'!H29-'AC+coolers'!G29</f>
        <v>131642.55187836481</v>
      </c>
      <c r="V30" s="3">
        <f>'AC+coolers'!I29-'AC+coolers'!H29</f>
        <v>176731.87791285827</v>
      </c>
      <c r="W30" s="3">
        <f>'AC+coolers'!J29-'AC+coolers'!I29</f>
        <v>237264.89820320043</v>
      </c>
      <c r="X30" s="3">
        <f>'AC+coolers'!K29-'AC+coolers'!J29</f>
        <v>318531.28357020987</v>
      </c>
      <c r="Y30" s="3">
        <f>'AC+coolers'!L29-'AC+coolers'!K29</f>
        <v>427632.48749079695</v>
      </c>
      <c r="Z30" s="3">
        <f>'AC+coolers'!M29-'AC+coolers'!L29</f>
        <v>935975.69006494991</v>
      </c>
      <c r="AA30" s="3">
        <f>'AC+coolers'!N29-'AC+coolers'!M29</f>
        <v>33830.330000000075</v>
      </c>
    </row>
    <row r="31" spans="1:27" x14ac:dyDescent="0.35">
      <c r="A31">
        <v>30</v>
      </c>
      <c r="B31" t="s">
        <v>45</v>
      </c>
      <c r="C31" t="s">
        <v>45</v>
      </c>
      <c r="D31">
        <v>30</v>
      </c>
      <c r="E31" s="8" t="s">
        <v>105</v>
      </c>
      <c r="F31" s="8" t="s">
        <v>8</v>
      </c>
      <c r="G31" s="9">
        <v>1474450.13</v>
      </c>
      <c r="H31" t="s">
        <v>45</v>
      </c>
      <c r="I31" t="s">
        <v>52</v>
      </c>
      <c r="O31" t="s">
        <v>52</v>
      </c>
      <c r="P31" s="3">
        <f>'AC+coolers'!C30-'AC+coolers'!B30</f>
        <v>26.10468394653622</v>
      </c>
      <c r="Q31" s="3">
        <f>'AC+coolers'!D30-'AC+coolers'!C30</f>
        <v>44.107297243029059</v>
      </c>
      <c r="R31" s="3">
        <f>'AC+coolers'!E30-'AC+coolers'!D30</f>
        <v>72.934929776894194</v>
      </c>
      <c r="S31" s="3">
        <f>'AC+coolers'!F30-'AC+coolers'!E30</f>
        <v>127.5100767331619</v>
      </c>
      <c r="T31" s="3">
        <f>'AC+coolers'!G30-'AC+coolers'!F30</f>
        <v>212.75827820311542</v>
      </c>
      <c r="U31" s="3">
        <f>'AC+coolers'!H30-'AC+coolers'!G30</f>
        <v>359.48309647556437</v>
      </c>
      <c r="V31" s="3">
        <f>'AC+coolers'!I30-'AC+coolers'!H30</f>
        <v>607.39397659691338</v>
      </c>
      <c r="W31" s="3">
        <f>'AC+coolers'!J30-'AC+coolers'!I30</f>
        <v>1026.2720178590889</v>
      </c>
      <c r="X31" s="3">
        <f>'AC+coolers'!K30-'AC+coolers'!J30</f>
        <v>1734.0215662683927</v>
      </c>
      <c r="Y31" s="3">
        <f>'AC+coolers'!L30-'AC+coolers'!K30</f>
        <v>2929.857523112104</v>
      </c>
      <c r="Z31" s="3">
        <f>'AC+coolers'!M30-'AC+coolers'!L30</f>
        <v>5943.773464751659</v>
      </c>
      <c r="AA31" s="3">
        <f>'AC+coolers'!N30-'AC+coolers'!M30</f>
        <v>5985.93</v>
      </c>
    </row>
    <row r="32" spans="1:27" x14ac:dyDescent="0.35">
      <c r="A32">
        <v>31</v>
      </c>
      <c r="B32" t="s">
        <v>41</v>
      </c>
      <c r="C32" t="s">
        <v>41</v>
      </c>
      <c r="D32">
        <v>31</v>
      </c>
      <c r="E32" s="8" t="s">
        <v>101</v>
      </c>
      <c r="F32" s="8" t="s">
        <v>4</v>
      </c>
      <c r="G32" s="9">
        <v>115955.73</v>
      </c>
      <c r="H32" t="s">
        <v>41</v>
      </c>
      <c r="I32" t="s">
        <v>45</v>
      </c>
      <c r="O32" t="s">
        <v>45</v>
      </c>
      <c r="P32" s="3">
        <f>'AC+coolers'!C31-'AC+coolers'!B31</f>
        <v>198190.3586916452</v>
      </c>
      <c r="Q32" s="3">
        <f>'AC+coolers'!D31-'AC+coolers'!C31</f>
        <v>255611.69307487714</v>
      </c>
      <c r="R32" s="3">
        <f>'AC+coolers'!E31-'AC+coolers'!D31</f>
        <v>336591.9046835748</v>
      </c>
      <c r="S32" s="3">
        <f>'AC+coolers'!F31-'AC+coolers'!E31</f>
        <v>418261.88837292511</v>
      </c>
      <c r="T32" s="3">
        <f>'AC+coolers'!G31-'AC+coolers'!F31</f>
        <v>548372.03189696511</v>
      </c>
      <c r="U32" s="3">
        <f>'AC+coolers'!H31-'AC+coolers'!G31</f>
        <v>707250.86948473006</v>
      </c>
      <c r="V32" s="3">
        <f>'AC+coolers'!I31-'AC+coolers'!H31</f>
        <v>912161.38550341176</v>
      </c>
      <c r="W32" s="3">
        <f>'AC+coolers'!J31-'AC+coolers'!I31</f>
        <v>1176440.2549409596</v>
      </c>
      <c r="X32" s="3">
        <f>'AC+coolers'!K31-'AC+coolers'!J31</f>
        <v>1517288.1635221075</v>
      </c>
      <c r="Y32" s="3">
        <f>'AC+coolers'!L31-'AC+coolers'!K31</f>
        <v>1956889.3205526629</v>
      </c>
      <c r="Z32" s="3">
        <f>'AC+coolers'!M31-'AC+coolers'!L31</f>
        <v>2057956.4257262386</v>
      </c>
      <c r="AA32" s="3">
        <f>'AC+coolers'!N31-'AC+coolers'!M31</f>
        <v>4276893.5299999993</v>
      </c>
    </row>
    <row r="33" spans="1:27" x14ac:dyDescent="0.35">
      <c r="A33">
        <v>32</v>
      </c>
      <c r="B33" t="s">
        <v>55</v>
      </c>
      <c r="C33" t="s">
        <v>55</v>
      </c>
      <c r="D33">
        <v>32</v>
      </c>
      <c r="E33" s="4" t="s">
        <v>114</v>
      </c>
      <c r="F33" s="4" t="s">
        <v>17</v>
      </c>
      <c r="G33" s="7">
        <v>88485.55</v>
      </c>
      <c r="H33" t="s">
        <v>55</v>
      </c>
      <c r="I33" t="s">
        <v>41</v>
      </c>
      <c r="O33" t="s">
        <v>41</v>
      </c>
      <c r="P33" s="3">
        <f>'AC+coolers'!C32-'AC+coolers'!B32</f>
        <v>14072.083037162171</v>
      </c>
      <c r="Q33" s="3">
        <f>'AC+coolers'!D32-'AC+coolers'!C32</f>
        <v>17203.063472573616</v>
      </c>
      <c r="R33" s="3">
        <f>'AC+coolers'!E32-'AC+coolers'!D32</f>
        <v>21434.094063138939</v>
      </c>
      <c r="S33" s="3">
        <f>'AC+coolers'!F32-'AC+coolers'!E32</f>
        <v>25306.49247441809</v>
      </c>
      <c r="T33" s="3">
        <f>'AC+coolers'!G32-'AC+coolers'!F32</f>
        <v>31430.261864013213</v>
      </c>
      <c r="U33" s="3">
        <f>'AC+coolers'!H32-'AC+coolers'!G32</f>
        <v>38423.365494527912</v>
      </c>
      <c r="V33" s="3">
        <f>'AC+coolers'!I32-'AC+coolers'!H32</f>
        <v>46972.405839751184</v>
      </c>
      <c r="W33" s="3">
        <f>'AC+coolers'!J32-'AC+coolers'!I32</f>
        <v>57423.572401238984</v>
      </c>
      <c r="X33" s="3">
        <f>'AC+coolers'!K32-'AC+coolers'!J32</f>
        <v>70200.080416783632</v>
      </c>
      <c r="Y33" s="3">
        <f>'AC+coolers'!L32-'AC+coolers'!K32</f>
        <v>85819.308769033698</v>
      </c>
      <c r="Z33" s="3">
        <f>'AC+coolers'!M32-'AC+coolers'!L32</f>
        <v>87113.392740233277</v>
      </c>
      <c r="AA33" s="3">
        <f>'AC+coolers'!N32-'AC+coolers'!M32</f>
        <v>165981.39000000001</v>
      </c>
    </row>
    <row r="34" spans="1:27" x14ac:dyDescent="0.35">
      <c r="E34" t="s">
        <v>128</v>
      </c>
      <c r="G34" s="3">
        <v>13796036.41</v>
      </c>
      <c r="I34" t="s">
        <v>55</v>
      </c>
      <c r="O34" t="s">
        <v>55</v>
      </c>
      <c r="P34" s="3">
        <f>'AC+coolers'!C33-'AC+coolers'!B33</f>
        <v>12744.77983029827</v>
      </c>
      <c r="Q34" s="3">
        <f>'AC+coolers'!D33-'AC+coolers'!C33</f>
        <v>17690.718821549999</v>
      </c>
      <c r="R34" s="3">
        <f>'AC+coolers'!E33-'AC+coolers'!D33</f>
        <v>25209.085616403871</v>
      </c>
      <c r="S34" s="3">
        <f>'AC+coolers'!F33-'AC+coolers'!E33</f>
        <v>33432.635280962204</v>
      </c>
      <c r="T34" s="3">
        <f>'AC+coolers'!G33-'AC+coolers'!F33</f>
        <v>47313.481625599787</v>
      </c>
      <c r="U34" s="3">
        <f>'AC+coolers'!H33-'AC+coolers'!G33</f>
        <v>65674.692780253798</v>
      </c>
      <c r="V34" s="3">
        <f>'AC+coolers'!I33-'AC+coolers'!H33</f>
        <v>91161.44328400059</v>
      </c>
      <c r="W34" s="3">
        <f>'AC+coolers'!J33-'AC+coolers'!I33</f>
        <v>126538.98160480952</v>
      </c>
      <c r="X34" s="3">
        <f>'AC+coolers'!K33-'AC+coolers'!J33</f>
        <v>175645.68186682649</v>
      </c>
      <c r="Y34" s="3">
        <f>'AC+coolers'!L33-'AC+coolers'!K33</f>
        <v>243809.49781003967</v>
      </c>
      <c r="Z34" s="3">
        <f>'AC+coolers'!M33-'AC+coolers'!L33</f>
        <v>260357.7457475079</v>
      </c>
      <c r="AA34" s="3">
        <f>'AC+coolers'!N33-'AC+coolers'!M33</f>
        <v>650409.29</v>
      </c>
    </row>
  </sheetData>
  <autoFilter ref="D2:H34" xr:uid="{79415F97-0381-43F4-8DDD-8639C58235AB}">
    <sortState xmlns:xlrd2="http://schemas.microsoft.com/office/spreadsheetml/2017/richdata2" ref="D3:H34">
      <sortCondition ref="D2:D34"/>
    </sortState>
  </autoFilter>
  <conditionalFormatting sqref="P3:AA34">
    <cfRule type="cellIs" dxfId="0" priority="1"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AC+coolers</vt:lpstr>
      <vt:lpstr>pct AC 2014</vt:lpstr>
      <vt:lpstr>Note</vt:lpstr>
      <vt:lpstr>vérif+2014</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CORBERAND Julie</dc:creator>
  <cp:lastModifiedBy>CORBERAND Julie</cp:lastModifiedBy>
  <dcterms:created xsi:type="dcterms:W3CDTF">2026-03-05T09:46:02Z</dcterms:created>
  <dcterms:modified xsi:type="dcterms:W3CDTF">2026-03-09T15:23:30Z</dcterms:modified>
</cp:coreProperties>
</file>