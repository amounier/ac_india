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fpenfr-my.sharepoint.com/personal/julie_corberand_ifpen_fr/Documents/Bureau/Thèse/2-Chapitre 2/Données/0_Clean AM/"/>
    </mc:Choice>
  </mc:AlternateContent>
  <xr:revisionPtr revIDLastSave="143" documentId="8_{2C81ED29-AC1D-4C8D-89CA-A92A7ABA5A7D}" xr6:coauthVersionLast="47" xr6:coauthVersionMax="47" xr10:uidLastSave="{CD08BA12-ACCC-4290-9ED6-B8EA56BAD18A}"/>
  <bookViews>
    <workbookView xWindow="-110" yWindow="-110" windowWidth="19420" windowHeight="10300" activeTab="4" xr2:uid="{EDFD56AE-6785-47E9-894D-ABB76BEF9595}"/>
  </bookViews>
  <sheets>
    <sheet name="CDD18" sheetId="1" r:id="rId1"/>
    <sheet name="CDD20" sheetId="2" r:id="rId2"/>
    <sheet name="CDD26" sheetId="3" r:id="rId3"/>
    <sheet name="Note" sheetId="4" r:id="rId4"/>
    <sheet name="vérif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5" l="1"/>
  <c r="S3" i="5"/>
  <c r="T3" i="5"/>
  <c r="U3" i="5"/>
  <c r="V3" i="5"/>
  <c r="W3" i="5"/>
  <c r="X3" i="5"/>
  <c r="Y3" i="5"/>
  <c r="Z3" i="5"/>
  <c r="AA3" i="5"/>
  <c r="AB3" i="5"/>
  <c r="AC3" i="5"/>
  <c r="AD3" i="5"/>
  <c r="AE3" i="5"/>
  <c r="R4" i="5"/>
  <c r="S4" i="5"/>
  <c r="T4" i="5"/>
  <c r="U4" i="5"/>
  <c r="V4" i="5"/>
  <c r="W4" i="5"/>
  <c r="X4" i="5"/>
  <c r="Y4" i="5"/>
  <c r="Z4" i="5"/>
  <c r="AA4" i="5"/>
  <c r="AB4" i="5"/>
  <c r="AC4" i="5"/>
  <c r="AD4" i="5"/>
  <c r="AE4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AE6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R9" i="5"/>
  <c r="S9" i="5"/>
  <c r="T9" i="5"/>
  <c r="U9" i="5"/>
  <c r="V9" i="5"/>
  <c r="W9" i="5"/>
  <c r="X9" i="5"/>
  <c r="Y9" i="5"/>
  <c r="Z9" i="5"/>
  <c r="AA9" i="5"/>
  <c r="AB9" i="5"/>
  <c r="AC9" i="5"/>
  <c r="AD9" i="5"/>
  <c r="AE9" i="5"/>
  <c r="R10" i="5"/>
  <c r="S10" i="5"/>
  <c r="T10" i="5"/>
  <c r="U10" i="5"/>
  <c r="V10" i="5"/>
  <c r="W10" i="5"/>
  <c r="X10" i="5"/>
  <c r="Y10" i="5"/>
  <c r="Z10" i="5"/>
  <c r="AA10" i="5"/>
  <c r="AB10" i="5"/>
  <c r="AC10" i="5"/>
  <c r="AD10" i="5"/>
  <c r="AE10" i="5"/>
  <c r="R11" i="5"/>
  <c r="S11" i="5"/>
  <c r="T11" i="5"/>
  <c r="U11" i="5"/>
  <c r="V11" i="5"/>
  <c r="W11" i="5"/>
  <c r="X11" i="5"/>
  <c r="Y11" i="5"/>
  <c r="Z11" i="5"/>
  <c r="AA11" i="5"/>
  <c r="AB11" i="5"/>
  <c r="AC11" i="5"/>
  <c r="AD11" i="5"/>
  <c r="AE11" i="5"/>
  <c r="R12" i="5"/>
  <c r="S12" i="5"/>
  <c r="T12" i="5"/>
  <c r="U12" i="5"/>
  <c r="V12" i="5"/>
  <c r="W12" i="5"/>
  <c r="X12" i="5"/>
  <c r="Y12" i="5"/>
  <c r="Z12" i="5"/>
  <c r="AA12" i="5"/>
  <c r="AB12" i="5"/>
  <c r="AC12" i="5"/>
  <c r="AD12" i="5"/>
  <c r="AE12" i="5"/>
  <c r="R13" i="5"/>
  <c r="S13" i="5"/>
  <c r="T13" i="5"/>
  <c r="U13" i="5"/>
  <c r="V13" i="5"/>
  <c r="W13" i="5"/>
  <c r="X13" i="5"/>
  <c r="Y13" i="5"/>
  <c r="Z13" i="5"/>
  <c r="AA13" i="5"/>
  <c r="AB13" i="5"/>
  <c r="AC13" i="5"/>
  <c r="AD13" i="5"/>
  <c r="AE13" i="5"/>
  <c r="R14" i="5"/>
  <c r="S14" i="5"/>
  <c r="T14" i="5"/>
  <c r="U14" i="5"/>
  <c r="V14" i="5"/>
  <c r="W14" i="5"/>
  <c r="X14" i="5"/>
  <c r="Y14" i="5"/>
  <c r="Z14" i="5"/>
  <c r="AA14" i="5"/>
  <c r="AB14" i="5"/>
  <c r="AC14" i="5"/>
  <c r="AD14" i="5"/>
  <c r="AE14" i="5"/>
  <c r="R15" i="5"/>
  <c r="S15" i="5"/>
  <c r="T15" i="5"/>
  <c r="U15" i="5"/>
  <c r="V15" i="5"/>
  <c r="W15" i="5"/>
  <c r="X15" i="5"/>
  <c r="Y15" i="5"/>
  <c r="Z15" i="5"/>
  <c r="AA15" i="5"/>
  <c r="AB15" i="5"/>
  <c r="AC15" i="5"/>
  <c r="AD15" i="5"/>
  <c r="AE15" i="5"/>
  <c r="R16" i="5"/>
  <c r="S16" i="5"/>
  <c r="T16" i="5"/>
  <c r="U16" i="5"/>
  <c r="V16" i="5"/>
  <c r="W16" i="5"/>
  <c r="X16" i="5"/>
  <c r="Y16" i="5"/>
  <c r="Z16" i="5"/>
  <c r="AA16" i="5"/>
  <c r="AB16" i="5"/>
  <c r="AC16" i="5"/>
  <c r="AD16" i="5"/>
  <c r="AE16" i="5"/>
  <c r="R17" i="5"/>
  <c r="S17" i="5"/>
  <c r="T17" i="5"/>
  <c r="U17" i="5"/>
  <c r="V17" i="5"/>
  <c r="W17" i="5"/>
  <c r="X17" i="5"/>
  <c r="Y17" i="5"/>
  <c r="Z17" i="5"/>
  <c r="AA17" i="5"/>
  <c r="AB17" i="5"/>
  <c r="AC17" i="5"/>
  <c r="AD17" i="5"/>
  <c r="AE17" i="5"/>
  <c r="R18" i="5"/>
  <c r="S18" i="5"/>
  <c r="T18" i="5"/>
  <c r="U18" i="5"/>
  <c r="V18" i="5"/>
  <c r="W18" i="5"/>
  <c r="X18" i="5"/>
  <c r="Y18" i="5"/>
  <c r="Z18" i="5"/>
  <c r="AA18" i="5"/>
  <c r="AB18" i="5"/>
  <c r="AC18" i="5"/>
  <c r="AD18" i="5"/>
  <c r="AE18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R20" i="5"/>
  <c r="S20" i="5"/>
  <c r="T20" i="5"/>
  <c r="U20" i="5"/>
  <c r="V20" i="5"/>
  <c r="W20" i="5"/>
  <c r="X20" i="5"/>
  <c r="Y20" i="5"/>
  <c r="Z20" i="5"/>
  <c r="AA20" i="5"/>
  <c r="AB20" i="5"/>
  <c r="AC20" i="5"/>
  <c r="AD20" i="5"/>
  <c r="AE20" i="5"/>
  <c r="R21" i="5"/>
  <c r="S21" i="5"/>
  <c r="T21" i="5"/>
  <c r="U21" i="5"/>
  <c r="V21" i="5"/>
  <c r="W21" i="5"/>
  <c r="X21" i="5"/>
  <c r="Y21" i="5"/>
  <c r="Z21" i="5"/>
  <c r="AA21" i="5"/>
  <c r="AB21" i="5"/>
  <c r="AC21" i="5"/>
  <c r="AD21" i="5"/>
  <c r="AE21" i="5"/>
  <c r="R22" i="5"/>
  <c r="S22" i="5"/>
  <c r="T22" i="5"/>
  <c r="U22" i="5"/>
  <c r="V22" i="5"/>
  <c r="W22" i="5"/>
  <c r="X22" i="5"/>
  <c r="Y22" i="5"/>
  <c r="Z22" i="5"/>
  <c r="AA22" i="5"/>
  <c r="AB22" i="5"/>
  <c r="AC22" i="5"/>
  <c r="AD22" i="5"/>
  <c r="AE22" i="5"/>
  <c r="R23" i="5"/>
  <c r="S23" i="5"/>
  <c r="T23" i="5"/>
  <c r="U23" i="5"/>
  <c r="V23" i="5"/>
  <c r="W23" i="5"/>
  <c r="X23" i="5"/>
  <c r="Y23" i="5"/>
  <c r="Z23" i="5"/>
  <c r="AA23" i="5"/>
  <c r="AB23" i="5"/>
  <c r="AC23" i="5"/>
  <c r="AD23" i="5"/>
  <c r="AE23" i="5"/>
  <c r="R24" i="5"/>
  <c r="S24" i="5"/>
  <c r="T24" i="5"/>
  <c r="U24" i="5"/>
  <c r="V24" i="5"/>
  <c r="W24" i="5"/>
  <c r="X24" i="5"/>
  <c r="Y24" i="5"/>
  <c r="Z24" i="5"/>
  <c r="AA24" i="5"/>
  <c r="AB24" i="5"/>
  <c r="AC24" i="5"/>
  <c r="AD24" i="5"/>
  <c r="AE24" i="5"/>
  <c r="R25" i="5"/>
  <c r="S25" i="5"/>
  <c r="T25" i="5"/>
  <c r="U25" i="5"/>
  <c r="V25" i="5"/>
  <c r="W25" i="5"/>
  <c r="X25" i="5"/>
  <c r="Y25" i="5"/>
  <c r="Z25" i="5"/>
  <c r="AA25" i="5"/>
  <c r="AB25" i="5"/>
  <c r="AC25" i="5"/>
  <c r="AD25" i="5"/>
  <c r="AE25" i="5"/>
  <c r="R26" i="5"/>
  <c r="S26" i="5"/>
  <c r="T26" i="5"/>
  <c r="U26" i="5"/>
  <c r="V26" i="5"/>
  <c r="W26" i="5"/>
  <c r="X26" i="5"/>
  <c r="Y26" i="5"/>
  <c r="Z26" i="5"/>
  <c r="AA26" i="5"/>
  <c r="AB26" i="5"/>
  <c r="AC26" i="5"/>
  <c r="AD26" i="5"/>
  <c r="AE26" i="5"/>
  <c r="R27" i="5"/>
  <c r="S27" i="5"/>
  <c r="T27" i="5"/>
  <c r="U27" i="5"/>
  <c r="V27" i="5"/>
  <c r="W27" i="5"/>
  <c r="X27" i="5"/>
  <c r="Y27" i="5"/>
  <c r="Z27" i="5"/>
  <c r="AA27" i="5"/>
  <c r="AB27" i="5"/>
  <c r="AC27" i="5"/>
  <c r="AD27" i="5"/>
  <c r="AE27" i="5"/>
  <c r="R28" i="5"/>
  <c r="S28" i="5"/>
  <c r="T28" i="5"/>
  <c r="U28" i="5"/>
  <c r="V28" i="5"/>
  <c r="W28" i="5"/>
  <c r="X28" i="5"/>
  <c r="Y28" i="5"/>
  <c r="Z28" i="5"/>
  <c r="AA28" i="5"/>
  <c r="AB28" i="5"/>
  <c r="AC28" i="5"/>
  <c r="AD28" i="5"/>
  <c r="AE28" i="5"/>
  <c r="R29" i="5"/>
  <c r="S29" i="5"/>
  <c r="T29" i="5"/>
  <c r="U29" i="5"/>
  <c r="V29" i="5"/>
  <c r="W29" i="5"/>
  <c r="X29" i="5"/>
  <c r="Y29" i="5"/>
  <c r="Z29" i="5"/>
  <c r="AA29" i="5"/>
  <c r="AB29" i="5"/>
  <c r="AC29" i="5"/>
  <c r="AD29" i="5"/>
  <c r="AE29" i="5"/>
  <c r="R30" i="5"/>
  <c r="S30" i="5"/>
  <c r="T30" i="5"/>
  <c r="U30" i="5"/>
  <c r="V30" i="5"/>
  <c r="W30" i="5"/>
  <c r="X30" i="5"/>
  <c r="Y30" i="5"/>
  <c r="Z30" i="5"/>
  <c r="AA30" i="5"/>
  <c r="AB30" i="5"/>
  <c r="AC30" i="5"/>
  <c r="AD30" i="5"/>
  <c r="AE30" i="5"/>
  <c r="R31" i="5"/>
  <c r="S31" i="5"/>
  <c r="T31" i="5"/>
  <c r="U31" i="5"/>
  <c r="V31" i="5"/>
  <c r="W31" i="5"/>
  <c r="X31" i="5"/>
  <c r="Y31" i="5"/>
  <c r="Z31" i="5"/>
  <c r="AA31" i="5"/>
  <c r="AB31" i="5"/>
  <c r="AC31" i="5"/>
  <c r="AD31" i="5"/>
  <c r="AE31" i="5"/>
  <c r="R32" i="5"/>
  <c r="S32" i="5"/>
  <c r="T32" i="5"/>
  <c r="U32" i="5"/>
  <c r="V32" i="5"/>
  <c r="W32" i="5"/>
  <c r="X32" i="5"/>
  <c r="Y32" i="5"/>
  <c r="Z32" i="5"/>
  <c r="AA32" i="5"/>
  <c r="AB32" i="5"/>
  <c r="AC32" i="5"/>
  <c r="AD32" i="5"/>
  <c r="AE32" i="5"/>
  <c r="R33" i="5"/>
  <c r="S33" i="5"/>
  <c r="T33" i="5"/>
  <c r="U33" i="5"/>
  <c r="V33" i="5"/>
  <c r="W33" i="5"/>
  <c r="X33" i="5"/>
  <c r="Y33" i="5"/>
  <c r="Z33" i="5"/>
  <c r="AA33" i="5"/>
  <c r="AB33" i="5"/>
  <c r="AC33" i="5"/>
  <c r="AD33" i="5"/>
  <c r="AE33" i="5"/>
  <c r="S2" i="5"/>
  <c r="T2" i="5"/>
  <c r="U2" i="5"/>
  <c r="V2" i="5"/>
  <c r="W2" i="5"/>
  <c r="X2" i="5"/>
  <c r="Y2" i="5"/>
  <c r="Z2" i="5"/>
  <c r="AA2" i="5"/>
  <c r="AB2" i="5"/>
  <c r="AC2" i="5"/>
  <c r="AD2" i="5"/>
  <c r="AE2" i="5"/>
  <c r="R2" i="5"/>
  <c r="B37" i="5"/>
  <c r="B38" i="5"/>
  <c r="C38" i="5"/>
  <c r="D38" i="5"/>
  <c r="E38" i="5"/>
  <c r="F38" i="5"/>
  <c r="G38" i="5"/>
  <c r="H38" i="5"/>
  <c r="I38" i="5"/>
  <c r="J38" i="5"/>
  <c r="K38" i="5"/>
  <c r="L38" i="5"/>
  <c r="M38" i="5"/>
  <c r="N38" i="5"/>
  <c r="O38" i="5"/>
  <c r="B39" i="5"/>
  <c r="C39" i="5"/>
  <c r="D39" i="5"/>
  <c r="E39" i="5"/>
  <c r="F39" i="5"/>
  <c r="G39" i="5"/>
  <c r="H39" i="5"/>
  <c r="I39" i="5"/>
  <c r="J39" i="5"/>
  <c r="K39" i="5"/>
  <c r="L39" i="5"/>
  <c r="M39" i="5"/>
  <c r="N39" i="5"/>
  <c r="O39" i="5"/>
  <c r="B40" i="5"/>
  <c r="C40" i="5"/>
  <c r="D40" i="5"/>
  <c r="E40" i="5"/>
  <c r="F40" i="5"/>
  <c r="G40" i="5"/>
  <c r="H40" i="5"/>
  <c r="I40" i="5"/>
  <c r="J40" i="5"/>
  <c r="K40" i="5"/>
  <c r="L40" i="5"/>
  <c r="M40" i="5"/>
  <c r="N40" i="5"/>
  <c r="O40" i="5"/>
  <c r="B41" i="5"/>
  <c r="C41" i="5"/>
  <c r="D41" i="5"/>
  <c r="E41" i="5"/>
  <c r="F41" i="5"/>
  <c r="G41" i="5"/>
  <c r="H41" i="5"/>
  <c r="I41" i="5"/>
  <c r="J41" i="5"/>
  <c r="K41" i="5"/>
  <c r="L41" i="5"/>
  <c r="M41" i="5"/>
  <c r="N41" i="5"/>
  <c r="O41" i="5"/>
  <c r="B42" i="5"/>
  <c r="C42" i="5"/>
  <c r="D42" i="5"/>
  <c r="E42" i="5"/>
  <c r="F42" i="5"/>
  <c r="G42" i="5"/>
  <c r="H42" i="5"/>
  <c r="I42" i="5"/>
  <c r="J42" i="5"/>
  <c r="K42" i="5"/>
  <c r="L42" i="5"/>
  <c r="M42" i="5"/>
  <c r="N42" i="5"/>
  <c r="O42" i="5"/>
  <c r="B43" i="5"/>
  <c r="C43" i="5"/>
  <c r="D43" i="5"/>
  <c r="E43" i="5"/>
  <c r="F43" i="5"/>
  <c r="G43" i="5"/>
  <c r="H43" i="5"/>
  <c r="I43" i="5"/>
  <c r="J43" i="5"/>
  <c r="K43" i="5"/>
  <c r="L43" i="5"/>
  <c r="M43" i="5"/>
  <c r="N43" i="5"/>
  <c r="O43" i="5"/>
  <c r="B44" i="5"/>
  <c r="C44" i="5"/>
  <c r="D44" i="5"/>
  <c r="E44" i="5"/>
  <c r="F44" i="5"/>
  <c r="G44" i="5"/>
  <c r="H44" i="5"/>
  <c r="I44" i="5"/>
  <c r="J44" i="5"/>
  <c r="K44" i="5"/>
  <c r="L44" i="5"/>
  <c r="M44" i="5"/>
  <c r="N44" i="5"/>
  <c r="O44" i="5"/>
  <c r="B45" i="5"/>
  <c r="C45" i="5"/>
  <c r="D45" i="5"/>
  <c r="E45" i="5"/>
  <c r="F45" i="5"/>
  <c r="G45" i="5"/>
  <c r="H45" i="5"/>
  <c r="I45" i="5"/>
  <c r="J45" i="5"/>
  <c r="K45" i="5"/>
  <c r="L45" i="5"/>
  <c r="M45" i="5"/>
  <c r="N45" i="5"/>
  <c r="O45" i="5"/>
  <c r="B46" i="5"/>
  <c r="C46" i="5"/>
  <c r="D46" i="5"/>
  <c r="E46" i="5"/>
  <c r="F46" i="5"/>
  <c r="G46" i="5"/>
  <c r="H46" i="5"/>
  <c r="I46" i="5"/>
  <c r="J46" i="5"/>
  <c r="K46" i="5"/>
  <c r="L46" i="5"/>
  <c r="M46" i="5"/>
  <c r="N46" i="5"/>
  <c r="O46" i="5"/>
  <c r="B47" i="5"/>
  <c r="C47" i="5"/>
  <c r="D47" i="5"/>
  <c r="E47" i="5"/>
  <c r="F47" i="5"/>
  <c r="G47" i="5"/>
  <c r="H47" i="5"/>
  <c r="I47" i="5"/>
  <c r="J47" i="5"/>
  <c r="K47" i="5"/>
  <c r="L47" i="5"/>
  <c r="M47" i="5"/>
  <c r="N47" i="5"/>
  <c r="O47" i="5"/>
  <c r="B48" i="5"/>
  <c r="C48" i="5"/>
  <c r="D48" i="5"/>
  <c r="E48" i="5"/>
  <c r="F48" i="5"/>
  <c r="G48" i="5"/>
  <c r="H48" i="5"/>
  <c r="I48" i="5"/>
  <c r="J48" i="5"/>
  <c r="K48" i="5"/>
  <c r="L48" i="5"/>
  <c r="M48" i="5"/>
  <c r="N48" i="5"/>
  <c r="O48" i="5"/>
  <c r="B49" i="5"/>
  <c r="C49" i="5"/>
  <c r="D49" i="5"/>
  <c r="E49" i="5"/>
  <c r="F49" i="5"/>
  <c r="G49" i="5"/>
  <c r="H49" i="5"/>
  <c r="I49" i="5"/>
  <c r="J49" i="5"/>
  <c r="K49" i="5"/>
  <c r="L49" i="5"/>
  <c r="M49" i="5"/>
  <c r="N49" i="5"/>
  <c r="O49" i="5"/>
  <c r="B50" i="5"/>
  <c r="C50" i="5"/>
  <c r="D50" i="5"/>
  <c r="E50" i="5"/>
  <c r="F50" i="5"/>
  <c r="G50" i="5"/>
  <c r="H50" i="5"/>
  <c r="I50" i="5"/>
  <c r="J50" i="5"/>
  <c r="K50" i="5"/>
  <c r="L50" i="5"/>
  <c r="M50" i="5"/>
  <c r="N50" i="5"/>
  <c r="O50" i="5"/>
  <c r="B51" i="5"/>
  <c r="C51" i="5"/>
  <c r="D51" i="5"/>
  <c r="E51" i="5"/>
  <c r="F51" i="5"/>
  <c r="G51" i="5"/>
  <c r="H51" i="5"/>
  <c r="I51" i="5"/>
  <c r="J51" i="5"/>
  <c r="K51" i="5"/>
  <c r="L51" i="5"/>
  <c r="M51" i="5"/>
  <c r="N51" i="5"/>
  <c r="O51" i="5"/>
  <c r="B52" i="5"/>
  <c r="C52" i="5"/>
  <c r="D52" i="5"/>
  <c r="E52" i="5"/>
  <c r="F52" i="5"/>
  <c r="G52" i="5"/>
  <c r="H52" i="5"/>
  <c r="I52" i="5"/>
  <c r="J52" i="5"/>
  <c r="K52" i="5"/>
  <c r="L52" i="5"/>
  <c r="M52" i="5"/>
  <c r="N52" i="5"/>
  <c r="O52" i="5"/>
  <c r="B53" i="5"/>
  <c r="C53" i="5"/>
  <c r="D53" i="5"/>
  <c r="E53" i="5"/>
  <c r="F53" i="5"/>
  <c r="G53" i="5"/>
  <c r="H53" i="5"/>
  <c r="I53" i="5"/>
  <c r="J53" i="5"/>
  <c r="K53" i="5"/>
  <c r="L53" i="5"/>
  <c r="M53" i="5"/>
  <c r="N53" i="5"/>
  <c r="O53" i="5"/>
  <c r="B54" i="5"/>
  <c r="C54" i="5"/>
  <c r="D54" i="5"/>
  <c r="E54" i="5"/>
  <c r="F54" i="5"/>
  <c r="G54" i="5"/>
  <c r="H54" i="5"/>
  <c r="I54" i="5"/>
  <c r="J54" i="5"/>
  <c r="K54" i="5"/>
  <c r="L54" i="5"/>
  <c r="M54" i="5"/>
  <c r="N54" i="5"/>
  <c r="O54" i="5"/>
  <c r="B55" i="5"/>
  <c r="C55" i="5"/>
  <c r="D55" i="5"/>
  <c r="E55" i="5"/>
  <c r="F55" i="5"/>
  <c r="G55" i="5"/>
  <c r="H55" i="5"/>
  <c r="I55" i="5"/>
  <c r="J55" i="5"/>
  <c r="K55" i="5"/>
  <c r="L55" i="5"/>
  <c r="M55" i="5"/>
  <c r="N55" i="5"/>
  <c r="O55" i="5"/>
  <c r="B56" i="5"/>
  <c r="C56" i="5"/>
  <c r="D56" i="5"/>
  <c r="E56" i="5"/>
  <c r="F56" i="5"/>
  <c r="G56" i="5"/>
  <c r="H56" i="5"/>
  <c r="I56" i="5"/>
  <c r="J56" i="5"/>
  <c r="K56" i="5"/>
  <c r="L56" i="5"/>
  <c r="M56" i="5"/>
  <c r="N56" i="5"/>
  <c r="O56" i="5"/>
  <c r="B57" i="5"/>
  <c r="C57" i="5"/>
  <c r="D57" i="5"/>
  <c r="E57" i="5"/>
  <c r="F57" i="5"/>
  <c r="G57" i="5"/>
  <c r="H57" i="5"/>
  <c r="I57" i="5"/>
  <c r="J57" i="5"/>
  <c r="K57" i="5"/>
  <c r="L57" i="5"/>
  <c r="M57" i="5"/>
  <c r="N57" i="5"/>
  <c r="O57" i="5"/>
  <c r="B58" i="5"/>
  <c r="C58" i="5"/>
  <c r="D58" i="5"/>
  <c r="E58" i="5"/>
  <c r="F58" i="5"/>
  <c r="G58" i="5"/>
  <c r="H58" i="5"/>
  <c r="I58" i="5"/>
  <c r="J58" i="5"/>
  <c r="K58" i="5"/>
  <c r="L58" i="5"/>
  <c r="M58" i="5"/>
  <c r="N58" i="5"/>
  <c r="O58" i="5"/>
  <c r="B59" i="5"/>
  <c r="C59" i="5"/>
  <c r="D59" i="5"/>
  <c r="E59" i="5"/>
  <c r="F59" i="5"/>
  <c r="G59" i="5"/>
  <c r="H59" i="5"/>
  <c r="I59" i="5"/>
  <c r="J59" i="5"/>
  <c r="K59" i="5"/>
  <c r="L59" i="5"/>
  <c r="M59" i="5"/>
  <c r="N59" i="5"/>
  <c r="O59" i="5"/>
  <c r="B60" i="5"/>
  <c r="C60" i="5"/>
  <c r="D60" i="5"/>
  <c r="E60" i="5"/>
  <c r="F60" i="5"/>
  <c r="G60" i="5"/>
  <c r="H60" i="5"/>
  <c r="I60" i="5"/>
  <c r="J60" i="5"/>
  <c r="K60" i="5"/>
  <c r="L60" i="5"/>
  <c r="M60" i="5"/>
  <c r="N60" i="5"/>
  <c r="O60" i="5"/>
  <c r="B61" i="5"/>
  <c r="C61" i="5"/>
  <c r="D61" i="5"/>
  <c r="E61" i="5"/>
  <c r="F61" i="5"/>
  <c r="G61" i="5"/>
  <c r="H61" i="5"/>
  <c r="I61" i="5"/>
  <c r="J61" i="5"/>
  <c r="K61" i="5"/>
  <c r="L61" i="5"/>
  <c r="M61" i="5"/>
  <c r="N61" i="5"/>
  <c r="O61" i="5"/>
  <c r="B62" i="5"/>
  <c r="C62" i="5"/>
  <c r="D62" i="5"/>
  <c r="E62" i="5"/>
  <c r="F62" i="5"/>
  <c r="G62" i="5"/>
  <c r="H62" i="5"/>
  <c r="I62" i="5"/>
  <c r="J62" i="5"/>
  <c r="K62" i="5"/>
  <c r="L62" i="5"/>
  <c r="M62" i="5"/>
  <c r="N62" i="5"/>
  <c r="O62" i="5"/>
  <c r="B63" i="5"/>
  <c r="C63" i="5"/>
  <c r="D63" i="5"/>
  <c r="E63" i="5"/>
  <c r="F63" i="5"/>
  <c r="G63" i="5"/>
  <c r="H63" i="5"/>
  <c r="I63" i="5"/>
  <c r="J63" i="5"/>
  <c r="K63" i="5"/>
  <c r="L63" i="5"/>
  <c r="M63" i="5"/>
  <c r="N63" i="5"/>
  <c r="O63" i="5"/>
  <c r="B64" i="5"/>
  <c r="C64" i="5"/>
  <c r="D64" i="5"/>
  <c r="E64" i="5"/>
  <c r="F64" i="5"/>
  <c r="G64" i="5"/>
  <c r="H64" i="5"/>
  <c r="I64" i="5"/>
  <c r="J64" i="5"/>
  <c r="K64" i="5"/>
  <c r="L64" i="5"/>
  <c r="M64" i="5"/>
  <c r="N64" i="5"/>
  <c r="O64" i="5"/>
  <c r="B65" i="5"/>
  <c r="C65" i="5"/>
  <c r="D65" i="5"/>
  <c r="E65" i="5"/>
  <c r="F65" i="5"/>
  <c r="G65" i="5"/>
  <c r="H65" i="5"/>
  <c r="I65" i="5"/>
  <c r="J65" i="5"/>
  <c r="K65" i="5"/>
  <c r="L65" i="5"/>
  <c r="M65" i="5"/>
  <c r="N65" i="5"/>
  <c r="O65" i="5"/>
  <c r="B66" i="5"/>
  <c r="C66" i="5"/>
  <c r="D66" i="5"/>
  <c r="E66" i="5"/>
  <c r="F66" i="5"/>
  <c r="G66" i="5"/>
  <c r="H66" i="5"/>
  <c r="I66" i="5"/>
  <c r="J66" i="5"/>
  <c r="K66" i="5"/>
  <c r="L66" i="5"/>
  <c r="M66" i="5"/>
  <c r="N66" i="5"/>
  <c r="O66" i="5"/>
  <c r="B67" i="5"/>
  <c r="C67" i="5"/>
  <c r="D67" i="5"/>
  <c r="E67" i="5"/>
  <c r="F67" i="5"/>
  <c r="G67" i="5"/>
  <c r="H67" i="5"/>
  <c r="I67" i="5"/>
  <c r="J67" i="5"/>
  <c r="K67" i="5"/>
  <c r="L67" i="5"/>
  <c r="M67" i="5"/>
  <c r="N67" i="5"/>
  <c r="O67" i="5"/>
  <c r="B68" i="5"/>
  <c r="C68" i="5"/>
  <c r="D68" i="5"/>
  <c r="E68" i="5"/>
  <c r="F68" i="5"/>
  <c r="G68" i="5"/>
  <c r="H68" i="5"/>
  <c r="I68" i="5"/>
  <c r="J68" i="5"/>
  <c r="K68" i="5"/>
  <c r="L68" i="5"/>
  <c r="M68" i="5"/>
  <c r="N68" i="5"/>
  <c r="O68" i="5"/>
  <c r="C37" i="5"/>
  <c r="D37" i="5"/>
  <c r="E37" i="5"/>
  <c r="F37" i="5"/>
  <c r="G37" i="5"/>
  <c r="H37" i="5"/>
  <c r="I37" i="5"/>
  <c r="J37" i="5"/>
  <c r="K37" i="5"/>
  <c r="L37" i="5"/>
  <c r="M37" i="5"/>
  <c r="N37" i="5"/>
  <c r="O37" i="5"/>
  <c r="B33" i="5"/>
  <c r="C33" i="5"/>
  <c r="D33" i="5"/>
  <c r="E33" i="5"/>
  <c r="F33" i="5"/>
  <c r="G33" i="5"/>
  <c r="H33" i="5"/>
  <c r="I33" i="5"/>
  <c r="J33" i="5"/>
  <c r="K33" i="5"/>
  <c r="L33" i="5"/>
  <c r="M33" i="5"/>
  <c r="N33" i="5"/>
  <c r="O33" i="5"/>
  <c r="B3" i="5"/>
  <c r="C3" i="5"/>
  <c r="D3" i="5"/>
  <c r="E3" i="5"/>
  <c r="F3" i="5"/>
  <c r="G3" i="5"/>
  <c r="H3" i="5"/>
  <c r="I3" i="5"/>
  <c r="J3" i="5"/>
  <c r="K3" i="5"/>
  <c r="L3" i="5"/>
  <c r="M3" i="5"/>
  <c r="N3" i="5"/>
  <c r="O3" i="5"/>
  <c r="B4" i="5"/>
  <c r="C4" i="5"/>
  <c r="D4" i="5"/>
  <c r="E4" i="5"/>
  <c r="F4" i="5"/>
  <c r="G4" i="5"/>
  <c r="H4" i="5"/>
  <c r="I4" i="5"/>
  <c r="J4" i="5"/>
  <c r="K4" i="5"/>
  <c r="L4" i="5"/>
  <c r="M4" i="5"/>
  <c r="N4" i="5"/>
  <c r="O4" i="5"/>
  <c r="B5" i="5"/>
  <c r="C5" i="5"/>
  <c r="D5" i="5"/>
  <c r="E5" i="5"/>
  <c r="F5" i="5"/>
  <c r="G5" i="5"/>
  <c r="H5" i="5"/>
  <c r="I5" i="5"/>
  <c r="J5" i="5"/>
  <c r="K5" i="5"/>
  <c r="L5" i="5"/>
  <c r="M5" i="5"/>
  <c r="N5" i="5"/>
  <c r="O5" i="5"/>
  <c r="B6" i="5"/>
  <c r="C6" i="5"/>
  <c r="D6" i="5"/>
  <c r="E6" i="5"/>
  <c r="F6" i="5"/>
  <c r="G6" i="5"/>
  <c r="H6" i="5"/>
  <c r="I6" i="5"/>
  <c r="J6" i="5"/>
  <c r="K6" i="5"/>
  <c r="L6" i="5"/>
  <c r="M6" i="5"/>
  <c r="N6" i="5"/>
  <c r="O6" i="5"/>
  <c r="B7" i="5"/>
  <c r="C7" i="5"/>
  <c r="D7" i="5"/>
  <c r="E7" i="5"/>
  <c r="F7" i="5"/>
  <c r="G7" i="5"/>
  <c r="H7" i="5"/>
  <c r="I7" i="5"/>
  <c r="J7" i="5"/>
  <c r="K7" i="5"/>
  <c r="L7" i="5"/>
  <c r="M7" i="5"/>
  <c r="N7" i="5"/>
  <c r="O7" i="5"/>
  <c r="B8" i="5"/>
  <c r="C8" i="5"/>
  <c r="D8" i="5"/>
  <c r="E8" i="5"/>
  <c r="F8" i="5"/>
  <c r="G8" i="5"/>
  <c r="H8" i="5"/>
  <c r="I8" i="5"/>
  <c r="J8" i="5"/>
  <c r="K8" i="5"/>
  <c r="L8" i="5"/>
  <c r="M8" i="5"/>
  <c r="N8" i="5"/>
  <c r="O8" i="5"/>
  <c r="B9" i="5"/>
  <c r="C9" i="5"/>
  <c r="D9" i="5"/>
  <c r="E9" i="5"/>
  <c r="F9" i="5"/>
  <c r="G9" i="5"/>
  <c r="H9" i="5"/>
  <c r="I9" i="5"/>
  <c r="J9" i="5"/>
  <c r="K9" i="5"/>
  <c r="L9" i="5"/>
  <c r="M9" i="5"/>
  <c r="N9" i="5"/>
  <c r="O9" i="5"/>
  <c r="B10" i="5"/>
  <c r="C10" i="5"/>
  <c r="D10" i="5"/>
  <c r="E10" i="5"/>
  <c r="F10" i="5"/>
  <c r="G10" i="5"/>
  <c r="H10" i="5"/>
  <c r="I10" i="5"/>
  <c r="J10" i="5"/>
  <c r="K10" i="5"/>
  <c r="L10" i="5"/>
  <c r="M10" i="5"/>
  <c r="N10" i="5"/>
  <c r="O10" i="5"/>
  <c r="B11" i="5"/>
  <c r="C11" i="5"/>
  <c r="D11" i="5"/>
  <c r="E11" i="5"/>
  <c r="F11" i="5"/>
  <c r="G11" i="5"/>
  <c r="H11" i="5"/>
  <c r="I11" i="5"/>
  <c r="J11" i="5"/>
  <c r="K11" i="5"/>
  <c r="L11" i="5"/>
  <c r="M11" i="5"/>
  <c r="N11" i="5"/>
  <c r="O11" i="5"/>
  <c r="B12" i="5"/>
  <c r="C12" i="5"/>
  <c r="D12" i="5"/>
  <c r="E12" i="5"/>
  <c r="F12" i="5"/>
  <c r="G12" i="5"/>
  <c r="H12" i="5"/>
  <c r="I12" i="5"/>
  <c r="J12" i="5"/>
  <c r="K12" i="5"/>
  <c r="L12" i="5"/>
  <c r="M12" i="5"/>
  <c r="N12" i="5"/>
  <c r="O12" i="5"/>
  <c r="B13" i="5"/>
  <c r="C13" i="5"/>
  <c r="D13" i="5"/>
  <c r="E13" i="5"/>
  <c r="F13" i="5"/>
  <c r="G13" i="5"/>
  <c r="H13" i="5"/>
  <c r="I13" i="5"/>
  <c r="J13" i="5"/>
  <c r="K13" i="5"/>
  <c r="L13" i="5"/>
  <c r="M13" i="5"/>
  <c r="N13" i="5"/>
  <c r="O13" i="5"/>
  <c r="B14" i="5"/>
  <c r="C14" i="5"/>
  <c r="D14" i="5"/>
  <c r="E14" i="5"/>
  <c r="F14" i="5"/>
  <c r="G14" i="5"/>
  <c r="H14" i="5"/>
  <c r="I14" i="5"/>
  <c r="J14" i="5"/>
  <c r="K14" i="5"/>
  <c r="L14" i="5"/>
  <c r="M14" i="5"/>
  <c r="N14" i="5"/>
  <c r="O14" i="5"/>
  <c r="B15" i="5"/>
  <c r="C15" i="5"/>
  <c r="D15" i="5"/>
  <c r="E15" i="5"/>
  <c r="F15" i="5"/>
  <c r="G15" i="5"/>
  <c r="H15" i="5"/>
  <c r="I15" i="5"/>
  <c r="J15" i="5"/>
  <c r="K15" i="5"/>
  <c r="L15" i="5"/>
  <c r="M15" i="5"/>
  <c r="N15" i="5"/>
  <c r="O15" i="5"/>
  <c r="B16" i="5"/>
  <c r="C16" i="5"/>
  <c r="D16" i="5"/>
  <c r="E16" i="5"/>
  <c r="F16" i="5"/>
  <c r="G16" i="5"/>
  <c r="H16" i="5"/>
  <c r="I16" i="5"/>
  <c r="J16" i="5"/>
  <c r="K16" i="5"/>
  <c r="L16" i="5"/>
  <c r="M16" i="5"/>
  <c r="N16" i="5"/>
  <c r="O16" i="5"/>
  <c r="B17" i="5"/>
  <c r="C17" i="5"/>
  <c r="D17" i="5"/>
  <c r="E17" i="5"/>
  <c r="F17" i="5"/>
  <c r="G17" i="5"/>
  <c r="H17" i="5"/>
  <c r="I17" i="5"/>
  <c r="J17" i="5"/>
  <c r="K17" i="5"/>
  <c r="L17" i="5"/>
  <c r="M17" i="5"/>
  <c r="N17" i="5"/>
  <c r="O17" i="5"/>
  <c r="B18" i="5"/>
  <c r="C18" i="5"/>
  <c r="D18" i="5"/>
  <c r="E18" i="5"/>
  <c r="F18" i="5"/>
  <c r="G18" i="5"/>
  <c r="H18" i="5"/>
  <c r="I18" i="5"/>
  <c r="J18" i="5"/>
  <c r="K18" i="5"/>
  <c r="L18" i="5"/>
  <c r="M18" i="5"/>
  <c r="N18" i="5"/>
  <c r="O18" i="5"/>
  <c r="B19" i="5"/>
  <c r="C19" i="5"/>
  <c r="D19" i="5"/>
  <c r="E19" i="5"/>
  <c r="F19" i="5"/>
  <c r="G19" i="5"/>
  <c r="H19" i="5"/>
  <c r="I19" i="5"/>
  <c r="J19" i="5"/>
  <c r="K19" i="5"/>
  <c r="L19" i="5"/>
  <c r="M19" i="5"/>
  <c r="N19" i="5"/>
  <c r="O19" i="5"/>
  <c r="B20" i="5"/>
  <c r="C20" i="5"/>
  <c r="D20" i="5"/>
  <c r="E20" i="5"/>
  <c r="F20" i="5"/>
  <c r="G20" i="5"/>
  <c r="H20" i="5"/>
  <c r="I20" i="5"/>
  <c r="J20" i="5"/>
  <c r="K20" i="5"/>
  <c r="L20" i="5"/>
  <c r="M20" i="5"/>
  <c r="N20" i="5"/>
  <c r="O20" i="5"/>
  <c r="B21" i="5"/>
  <c r="C21" i="5"/>
  <c r="D21" i="5"/>
  <c r="E21" i="5"/>
  <c r="F21" i="5"/>
  <c r="G21" i="5"/>
  <c r="H21" i="5"/>
  <c r="I21" i="5"/>
  <c r="J21" i="5"/>
  <c r="K21" i="5"/>
  <c r="L21" i="5"/>
  <c r="M21" i="5"/>
  <c r="N21" i="5"/>
  <c r="O21" i="5"/>
  <c r="B22" i="5"/>
  <c r="C22" i="5"/>
  <c r="D22" i="5"/>
  <c r="E22" i="5"/>
  <c r="F22" i="5"/>
  <c r="G22" i="5"/>
  <c r="H22" i="5"/>
  <c r="I22" i="5"/>
  <c r="J22" i="5"/>
  <c r="K22" i="5"/>
  <c r="L22" i="5"/>
  <c r="M22" i="5"/>
  <c r="N22" i="5"/>
  <c r="O22" i="5"/>
  <c r="B23" i="5"/>
  <c r="C23" i="5"/>
  <c r="D23" i="5"/>
  <c r="E23" i="5"/>
  <c r="F23" i="5"/>
  <c r="G23" i="5"/>
  <c r="H23" i="5"/>
  <c r="I23" i="5"/>
  <c r="J23" i="5"/>
  <c r="K23" i="5"/>
  <c r="L23" i="5"/>
  <c r="M23" i="5"/>
  <c r="N23" i="5"/>
  <c r="O23" i="5"/>
  <c r="B24" i="5"/>
  <c r="C24" i="5"/>
  <c r="D24" i="5"/>
  <c r="E24" i="5"/>
  <c r="F24" i="5"/>
  <c r="G24" i="5"/>
  <c r="H24" i="5"/>
  <c r="I24" i="5"/>
  <c r="J24" i="5"/>
  <c r="K24" i="5"/>
  <c r="L24" i="5"/>
  <c r="M24" i="5"/>
  <c r="N24" i="5"/>
  <c r="O24" i="5"/>
  <c r="B25" i="5"/>
  <c r="C25" i="5"/>
  <c r="D25" i="5"/>
  <c r="E25" i="5"/>
  <c r="F25" i="5"/>
  <c r="G25" i="5"/>
  <c r="H25" i="5"/>
  <c r="I25" i="5"/>
  <c r="J25" i="5"/>
  <c r="K25" i="5"/>
  <c r="L25" i="5"/>
  <c r="M25" i="5"/>
  <c r="N25" i="5"/>
  <c r="O25" i="5"/>
  <c r="B26" i="5"/>
  <c r="C26" i="5"/>
  <c r="D26" i="5"/>
  <c r="E26" i="5"/>
  <c r="F26" i="5"/>
  <c r="G26" i="5"/>
  <c r="H26" i="5"/>
  <c r="I26" i="5"/>
  <c r="J26" i="5"/>
  <c r="K26" i="5"/>
  <c r="L26" i="5"/>
  <c r="M26" i="5"/>
  <c r="N26" i="5"/>
  <c r="O26" i="5"/>
  <c r="B27" i="5"/>
  <c r="C27" i="5"/>
  <c r="D27" i="5"/>
  <c r="E27" i="5"/>
  <c r="F27" i="5"/>
  <c r="G27" i="5"/>
  <c r="H27" i="5"/>
  <c r="I27" i="5"/>
  <c r="J27" i="5"/>
  <c r="K27" i="5"/>
  <c r="L27" i="5"/>
  <c r="M27" i="5"/>
  <c r="N27" i="5"/>
  <c r="O27" i="5"/>
  <c r="B28" i="5"/>
  <c r="C28" i="5"/>
  <c r="D28" i="5"/>
  <c r="E28" i="5"/>
  <c r="F28" i="5"/>
  <c r="G28" i="5"/>
  <c r="H28" i="5"/>
  <c r="I28" i="5"/>
  <c r="J28" i="5"/>
  <c r="K28" i="5"/>
  <c r="L28" i="5"/>
  <c r="M28" i="5"/>
  <c r="N28" i="5"/>
  <c r="O28" i="5"/>
  <c r="B29" i="5"/>
  <c r="C29" i="5"/>
  <c r="D29" i="5"/>
  <c r="E29" i="5"/>
  <c r="F29" i="5"/>
  <c r="G29" i="5"/>
  <c r="H29" i="5"/>
  <c r="I29" i="5"/>
  <c r="J29" i="5"/>
  <c r="K29" i="5"/>
  <c r="L29" i="5"/>
  <c r="M29" i="5"/>
  <c r="N29" i="5"/>
  <c r="O29" i="5"/>
  <c r="B30" i="5"/>
  <c r="C30" i="5"/>
  <c r="D30" i="5"/>
  <c r="E30" i="5"/>
  <c r="F30" i="5"/>
  <c r="G30" i="5"/>
  <c r="H30" i="5"/>
  <c r="I30" i="5"/>
  <c r="J30" i="5"/>
  <c r="K30" i="5"/>
  <c r="L30" i="5"/>
  <c r="M30" i="5"/>
  <c r="N30" i="5"/>
  <c r="O30" i="5"/>
  <c r="B31" i="5"/>
  <c r="C31" i="5"/>
  <c r="D31" i="5"/>
  <c r="E31" i="5"/>
  <c r="F31" i="5"/>
  <c r="G31" i="5"/>
  <c r="H31" i="5"/>
  <c r="I31" i="5"/>
  <c r="J31" i="5"/>
  <c r="K31" i="5"/>
  <c r="L31" i="5"/>
  <c r="M31" i="5"/>
  <c r="N31" i="5"/>
  <c r="O31" i="5"/>
  <c r="B32" i="5"/>
  <c r="C32" i="5"/>
  <c r="D32" i="5"/>
  <c r="E32" i="5"/>
  <c r="F32" i="5"/>
  <c r="G32" i="5"/>
  <c r="H32" i="5"/>
  <c r="I32" i="5"/>
  <c r="J32" i="5"/>
  <c r="K32" i="5"/>
  <c r="L32" i="5"/>
  <c r="M32" i="5"/>
  <c r="N32" i="5"/>
  <c r="O32" i="5"/>
  <c r="C2" i="5"/>
  <c r="D2" i="5"/>
  <c r="E2" i="5"/>
  <c r="F2" i="5"/>
  <c r="G2" i="5"/>
  <c r="H2" i="5"/>
  <c r="I2" i="5"/>
  <c r="J2" i="5"/>
  <c r="K2" i="5"/>
  <c r="L2" i="5"/>
  <c r="M2" i="5"/>
  <c r="N2" i="5"/>
  <c r="O2" i="5"/>
  <c r="B2" i="5"/>
</calcChain>
</file>

<file path=xl/sharedStrings.xml><?xml version="1.0" encoding="utf-8"?>
<sst xmlns="http://schemas.openxmlformats.org/spreadsheetml/2006/main" count="396" uniqueCount="89">
  <si>
    <t>year</t>
  </si>
  <si>
    <t>IN</t>
  </si>
  <si>
    <t>IN.AN</t>
  </si>
  <si>
    <t>IN.AP</t>
  </si>
  <si>
    <t>IN.AR</t>
  </si>
  <si>
    <t>IN.AS</t>
  </si>
  <si>
    <t>IN.BR</t>
  </si>
  <si>
    <t>IN.CH</t>
  </si>
  <si>
    <t>IN.CT</t>
  </si>
  <si>
    <t>IN.DD</t>
  </si>
  <si>
    <t>IN.DL</t>
  </si>
  <si>
    <t>IN.DN</t>
  </si>
  <si>
    <t>IN.GA</t>
  </si>
  <si>
    <t>IN.GJ</t>
  </si>
  <si>
    <t>IN.HP</t>
  </si>
  <si>
    <t>IN.HR</t>
  </si>
  <si>
    <t>IN.JH</t>
  </si>
  <si>
    <t>IN.JK</t>
  </si>
  <si>
    <t>IN.KA</t>
  </si>
  <si>
    <t>IN.KL</t>
  </si>
  <si>
    <t>IN.LD</t>
  </si>
  <si>
    <t>IN.MH</t>
  </si>
  <si>
    <t>IN.ML</t>
  </si>
  <si>
    <t>IN.MN</t>
  </si>
  <si>
    <t>IN.MP</t>
  </si>
  <si>
    <t>IN.MZ</t>
  </si>
  <si>
    <t>IN.NL</t>
  </si>
  <si>
    <t>IN.OR</t>
  </si>
  <si>
    <t>IN.PB</t>
  </si>
  <si>
    <t>IN.PY</t>
  </si>
  <si>
    <t>IN.RJ</t>
  </si>
  <si>
    <t>IN.SK</t>
  </si>
  <si>
    <t>IN.TG</t>
  </si>
  <si>
    <t>IN.TN</t>
  </si>
  <si>
    <t>IN.TR</t>
  </si>
  <si>
    <t>IN.UP</t>
  </si>
  <si>
    <t>IN.UT</t>
  </si>
  <si>
    <t>IN.WB</t>
  </si>
  <si>
    <t>India</t>
  </si>
  <si>
    <t>Andhra Pradesh</t>
  </si>
  <si>
    <t>Arunachal Pradesh</t>
  </si>
  <si>
    <t>Assam</t>
  </si>
  <si>
    <t>Bihar</t>
  </si>
  <si>
    <t>Chhattisgarh</t>
  </si>
  <si>
    <t>Delhi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</si>
  <si>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</si>
  <si>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</si>
  <si>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</si>
  <si>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</si>
  <si>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</si>
  <si>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</si>
  <si>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</si>
  <si>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</si>
  <si>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</si>
  <si>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</si>
  <si>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</si>
  <si>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</si>
  <si>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</si>
  <si>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</si>
  <si>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</si>
  <si>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</si>
  <si>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</si>
  <si>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</si>
  <si>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</si>
  <si>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</si>
  <si>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Uttarakhand</t>
  </si>
  <si>
    <t>Uttar Pradesh</t>
  </si>
  <si>
    <t>West Bengal</t>
  </si>
  <si>
    <t>A &amp; N Islands</t>
  </si>
  <si>
    <t>Chandigarh</t>
  </si>
  <si>
    <t>Dadra &amp; Nagar Haveli and Daman &amp; Diu</t>
  </si>
  <si>
    <t>Jammu &amp; Kashmir</t>
  </si>
  <si>
    <t>Ladakh</t>
  </si>
  <si>
    <t>Puducherry</t>
  </si>
  <si>
    <t>Daman and Diu</t>
  </si>
  <si>
    <t>States</t>
  </si>
  <si>
    <t>CDD20 : directement disponible par jour sur le site de Renewable Ninja (je n'ai pas fait le calcul moi -même), ensuite, somme de tous les jours de l'année pour obtenir le CDD annuel par state</t>
  </si>
  <si>
    <t>Liste des états : pour faire le matching avec les noms des états "clean", best guess et vérification avec liste de chatgpt</t>
  </si>
  <si>
    <t xml:space="preserve">Etats supprimé : A&amp;N islands, Ladakh, D&amp;N islands </t>
  </si>
  <si>
    <t>CDD26</t>
  </si>
  <si>
    <t>CDD18</t>
  </si>
  <si>
    <t>CDD20</t>
  </si>
  <si>
    <t>CDD18 et 26: téléchargement des données de tempéraures à 2m du sol par state et par jour, ensuite, calcul du CDD journalier en faisant (température moyenne journalière - 18°C/26°C), puis comme pour CDD20</t>
  </si>
  <si>
    <t>CCD18-CDD20</t>
  </si>
  <si>
    <t>CDD18-CCD26</t>
  </si>
  <si>
    <t>CDD20-CCD26</t>
  </si>
  <si>
    <t>Source: données Renewable Ninja, https://www.renewables.ninja/; données journaliére non pondérées</t>
  </si>
  <si>
    <t>Nb</t>
  </si>
  <si>
    <t>Puducherr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</si>
</sst>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3" fillId="0" borderId="1" xfId="0" applyFont="1" applyBorder="1" applyAlignment="1">
      <alignment horizontal="center" vertical="top"/>
    </xf>
    <xf numFmtId="164" fontId="0" fillId="0" borderId="0" xfId="1" applyNumberFormat="1" applyFont="1"/>
    <xf numFmtId="164" fontId="0" fillId="0" borderId="0" xfId="1" applyNumberFormat="1" applyFont="1" applyFill="1"/>
    <xf numFmtId="0" fontId="2" fillId="0" borderId="0" xfId="0" applyFont="1"/>
    <xf numFmtId="164" fontId="0" fillId="2" borderId="0" xfId="1" applyNumberFormat="1" applyFont="1" applyFill="1"/>
    <xf numFmtId="0" fontId="2" fillId="0" borderId="0" xfId="1" applyNumberFormat="1" applyFont="1"/>
    <xf numFmtId="164" fontId="0" fillId="0" borderId="0" xfId="1" applyNumberFormat="1" applyFont="1" applyBorder="1"/>
    <xf numFmtId="0" fontId="0" fillId="0" borderId="2" xfId="0" applyBorder="1"/>
    <xf numFmtId="164" fontId="0" fillId="0" borderId="2" xfId="1" applyNumberFormat="1" applyFont="1" applyBorder="1"/>
    <xf numFmtId="0" fontId="0" fillId="0" borderId="3" xfId="0" applyBorder="1"/>
    <xf numFmtId="0" fontId="2" fillId="0" borderId="3" xfId="0" applyFont="1" applyBorder="1"/>
    <xf numFmtId="164" fontId="0" fillId="3" borderId="0" xfId="1" applyNumberFormat="1" applyFont="1" applyFill="1"/>
    <xf numFmtId="0" fontId="3" fillId="3" borderId="1" xfId="0" applyFont="1" applyFill="1" applyBorder="1" applyAlignment="1">
      <alignment horizontal="center" vertical="top"/>
    </xf>
    <xf numFmtId="164" fontId="2" fillId="0" borderId="0" xfId="1" applyNumberFormat="1" applyFont="1" applyFill="1"/>
    <xf numFmtId="0" fontId="0" fillId="0" borderId="0" xfId="0" applyAlignment="1">
      <alignment vertical="center"/>
    </xf>
  </cellXfs>
  <cellStyles count="2">
    <cellStyle name="Milliers" xfId="1" builtinId="3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D0058-4EC9-4D66-9CCA-C5D272531244}">
  <dimension ref="A1:O33"/>
  <sheetViews>
    <sheetView workbookViewId="0">
      <selection sqref="A1:A33"/>
    </sheetView>
  </sheetViews>
  <sheetFormatPr baseColWidth="10" defaultRowHeight="14.5" x14ac:dyDescent="0.35"/>
  <sheetData>
    <row r="1" spans="1:15" x14ac:dyDescent="0.35">
      <c r="A1" s="14" t="s">
        <v>75</v>
      </c>
      <c r="B1" s="6">
        <v>2011</v>
      </c>
      <c r="C1" s="6">
        <v>2012</v>
      </c>
      <c r="D1" s="6">
        <v>2013</v>
      </c>
      <c r="E1" s="6">
        <v>2014</v>
      </c>
      <c r="F1" s="6">
        <v>2015</v>
      </c>
      <c r="G1" s="6">
        <v>2016</v>
      </c>
      <c r="H1" s="6">
        <v>2017</v>
      </c>
      <c r="I1" s="6">
        <v>2018</v>
      </c>
      <c r="J1" s="6">
        <v>2019</v>
      </c>
      <c r="K1" s="6">
        <v>2020</v>
      </c>
      <c r="L1" s="6">
        <v>2021</v>
      </c>
      <c r="M1" s="6">
        <v>2022</v>
      </c>
      <c r="N1" s="6">
        <v>2023</v>
      </c>
      <c r="O1" s="6">
        <v>2024</v>
      </c>
    </row>
    <row r="2" spans="1:15" x14ac:dyDescent="0.35">
      <c r="A2" s="3" t="s">
        <v>39</v>
      </c>
      <c r="B2" s="2">
        <v>3281.0540000000001</v>
      </c>
      <c r="C2" s="2">
        <v>3379.6320000000001</v>
      </c>
      <c r="D2" s="2">
        <v>3234.4090000000001</v>
      </c>
      <c r="E2" s="2">
        <v>3348.415</v>
      </c>
      <c r="F2" s="2">
        <v>3314.1709999999998</v>
      </c>
      <c r="G2" s="2">
        <v>3398.8789999999999</v>
      </c>
      <c r="H2" s="2">
        <v>3349.9839999999999</v>
      </c>
      <c r="I2" s="2">
        <v>3430.7570000000001</v>
      </c>
      <c r="J2" s="2">
        <v>3457.9430000000002</v>
      </c>
      <c r="K2" s="2">
        <v>3288.4490000000001</v>
      </c>
      <c r="L2" s="2">
        <v>3230.665</v>
      </c>
      <c r="M2" s="2">
        <v>3184.2689999999998</v>
      </c>
      <c r="N2" s="2">
        <v>3466.3609999999999</v>
      </c>
      <c r="O2" s="2">
        <v>3517.0889999999999</v>
      </c>
    </row>
    <row r="3" spans="1:15" x14ac:dyDescent="0.35">
      <c r="A3" s="3" t="s">
        <v>40</v>
      </c>
      <c r="B3" s="2">
        <v>644.30999999999995</v>
      </c>
      <c r="C3" s="2">
        <v>672.745</v>
      </c>
      <c r="D3" s="2">
        <v>709.10500000000002</v>
      </c>
      <c r="E3" s="2">
        <v>731.67100000000005</v>
      </c>
      <c r="F3" s="2">
        <v>635.01800000000003</v>
      </c>
      <c r="G3" s="2">
        <v>717.83600000000001</v>
      </c>
      <c r="H3" s="2">
        <v>737.57600000000002</v>
      </c>
      <c r="I3" s="2">
        <v>675.51900000000001</v>
      </c>
      <c r="J3" s="2">
        <v>728.46899999999994</v>
      </c>
      <c r="K3" s="2">
        <v>699.91399999999999</v>
      </c>
      <c r="L3" s="2">
        <v>733.32500000000005</v>
      </c>
      <c r="M3" s="2">
        <v>704.88499999999999</v>
      </c>
      <c r="N3" s="2">
        <v>718.49799999999993</v>
      </c>
      <c r="O3" s="2">
        <v>803.20899999999995</v>
      </c>
    </row>
    <row r="4" spans="1:15" x14ac:dyDescent="0.35">
      <c r="A4" s="3" t="s">
        <v>41</v>
      </c>
      <c r="B4" s="2">
        <v>2047.5039999999999</v>
      </c>
      <c r="C4" s="2">
        <v>2121.5929999999998</v>
      </c>
      <c r="D4" s="2">
        <v>2232.6039999999998</v>
      </c>
      <c r="E4" s="2">
        <v>2310.06</v>
      </c>
      <c r="F4" s="2">
        <v>2254.6779999999999</v>
      </c>
      <c r="G4" s="2">
        <v>2373.9380000000001</v>
      </c>
      <c r="H4" s="2">
        <v>2238.5030000000002</v>
      </c>
      <c r="I4" s="2">
        <v>2160.6610000000001</v>
      </c>
      <c r="J4" s="2">
        <v>2201.652</v>
      </c>
      <c r="K4" s="2">
        <v>2158.223</v>
      </c>
      <c r="L4" s="2">
        <v>2218.3209999999999</v>
      </c>
      <c r="M4" s="2">
        <v>2144.3359999999998</v>
      </c>
      <c r="N4" s="2">
        <v>2324.596</v>
      </c>
      <c r="O4" s="2">
        <v>2302.38</v>
      </c>
    </row>
    <row r="5" spans="1:15" x14ac:dyDescent="0.35">
      <c r="A5" s="3" t="s">
        <v>42</v>
      </c>
      <c r="B5" s="2">
        <v>2848.3249999999998</v>
      </c>
      <c r="C5" s="2">
        <v>2928.1109999999999</v>
      </c>
      <c r="D5" s="2">
        <v>2792.1010000000001</v>
      </c>
      <c r="E5" s="2">
        <v>2924.0149999999999</v>
      </c>
      <c r="F5" s="2">
        <v>3157.181</v>
      </c>
      <c r="G5" s="2">
        <v>3197.29</v>
      </c>
      <c r="H5" s="2">
        <v>3133.6559999999999</v>
      </c>
      <c r="I5" s="2">
        <v>3172.6039999999998</v>
      </c>
      <c r="J5" s="2">
        <v>3103.6260000000002</v>
      </c>
      <c r="K5" s="2">
        <v>2660.0239999999999</v>
      </c>
      <c r="L5" s="2">
        <v>2775.451</v>
      </c>
      <c r="M5" s="2">
        <v>2944.6379999999999</v>
      </c>
      <c r="N5" s="2">
        <v>3138.3820000000001</v>
      </c>
      <c r="O5" s="2">
        <v>3104.404</v>
      </c>
    </row>
    <row r="6" spans="1:15" x14ac:dyDescent="0.35">
      <c r="A6" s="3" t="s">
        <v>69</v>
      </c>
      <c r="B6" s="2">
        <v>2129.6309999999999</v>
      </c>
      <c r="C6" s="2">
        <v>2412.3119999999999</v>
      </c>
      <c r="D6" s="2">
        <v>2213.143</v>
      </c>
      <c r="E6" s="2">
        <v>2417.1469999999999</v>
      </c>
      <c r="F6" s="2">
        <v>2259.7130000000002</v>
      </c>
      <c r="G6" s="2">
        <v>2516.6590000000001</v>
      </c>
      <c r="H6" s="2">
        <v>2324.4920000000002</v>
      </c>
      <c r="I6" s="2">
        <v>2198.6379999999999</v>
      </c>
      <c r="J6" s="2">
        <v>2236.7190000000001</v>
      </c>
      <c r="K6" s="2">
        <v>2071.9369999999999</v>
      </c>
      <c r="L6" s="2">
        <v>2202.9650000000001</v>
      </c>
      <c r="M6" s="2">
        <v>2347.5079999999998</v>
      </c>
      <c r="N6" s="2">
        <v>1895.933</v>
      </c>
      <c r="O6" s="2">
        <v>2447.0309999999999</v>
      </c>
    </row>
    <row r="7" spans="1:15" x14ac:dyDescent="0.35">
      <c r="A7" s="3" t="s">
        <v>43</v>
      </c>
      <c r="B7" s="2">
        <v>2630.0309999999999</v>
      </c>
      <c r="C7" s="2">
        <v>2737.6959999999999</v>
      </c>
      <c r="D7" s="2">
        <v>2632.9389999999999</v>
      </c>
      <c r="E7" s="2">
        <v>2657.7440000000001</v>
      </c>
      <c r="F7" s="2">
        <v>2781.4160000000002</v>
      </c>
      <c r="G7" s="2">
        <v>2933.5210000000002</v>
      </c>
      <c r="H7" s="2">
        <v>2913.7139999999999</v>
      </c>
      <c r="I7" s="2">
        <v>2820.6419999999998</v>
      </c>
      <c r="J7" s="2">
        <v>2866.2020000000002</v>
      </c>
      <c r="K7" s="2">
        <v>2426.3330000000001</v>
      </c>
      <c r="L7" s="2">
        <v>2634.0239999999999</v>
      </c>
      <c r="M7" s="2">
        <v>2697.4140000000002</v>
      </c>
      <c r="N7" s="2">
        <v>2676.7559999999999</v>
      </c>
      <c r="O7" s="2">
        <v>2815.473</v>
      </c>
    </row>
    <row r="8" spans="1:15" x14ac:dyDescent="0.35">
      <c r="A8" s="3" t="s">
        <v>44</v>
      </c>
      <c r="B8" s="2">
        <v>2870.942</v>
      </c>
      <c r="C8" s="2">
        <v>3014.8229999999999</v>
      </c>
      <c r="D8" s="2">
        <v>2749.6970000000001</v>
      </c>
      <c r="E8" s="2">
        <v>3080.9430000000002</v>
      </c>
      <c r="F8" s="2">
        <v>2979.45</v>
      </c>
      <c r="G8" s="2">
        <v>3196.1060000000002</v>
      </c>
      <c r="H8" s="2">
        <v>3104.712</v>
      </c>
      <c r="I8" s="2">
        <v>3013.5390000000002</v>
      </c>
      <c r="J8" s="2">
        <v>3102.4009999999998</v>
      </c>
      <c r="K8" s="2">
        <v>2919.3020000000001</v>
      </c>
      <c r="L8" s="2">
        <v>2785.9549999999999</v>
      </c>
      <c r="M8" s="2">
        <v>3109.6950000000002</v>
      </c>
      <c r="N8" s="2">
        <v>2746.8159999999998</v>
      </c>
      <c r="O8" s="2">
        <v>3097.63</v>
      </c>
    </row>
    <row r="9" spans="1:15" x14ac:dyDescent="0.35">
      <c r="A9" s="3" t="s">
        <v>45</v>
      </c>
      <c r="B9" s="2">
        <v>3206.3969999999999</v>
      </c>
      <c r="C9" s="2">
        <v>3239.922</v>
      </c>
      <c r="D9" s="2">
        <v>3238.607</v>
      </c>
      <c r="E9" s="2">
        <v>3336.422</v>
      </c>
      <c r="F9" s="2">
        <v>3378.607</v>
      </c>
      <c r="G9" s="2">
        <v>3272.0709999999999</v>
      </c>
      <c r="H9" s="2">
        <v>3311.1759999999999</v>
      </c>
      <c r="I9" s="2">
        <v>3332.1030000000001</v>
      </c>
      <c r="J9" s="2">
        <v>3353.8319999999999</v>
      </c>
      <c r="K9" s="2">
        <v>3350.2049999999999</v>
      </c>
      <c r="L9" s="2">
        <v>3363.864</v>
      </c>
      <c r="M9" s="2">
        <v>3219.6</v>
      </c>
      <c r="N9" s="2">
        <v>3494.8069999999998</v>
      </c>
      <c r="O9" s="2">
        <v>3501.6880000000001</v>
      </c>
    </row>
    <row r="10" spans="1:15" x14ac:dyDescent="0.35">
      <c r="A10" s="3" t="s">
        <v>46</v>
      </c>
      <c r="B10" s="2">
        <v>3255.951</v>
      </c>
      <c r="C10" s="2">
        <v>3236.44</v>
      </c>
      <c r="D10" s="2">
        <v>3067.9270000000001</v>
      </c>
      <c r="E10" s="2">
        <v>3333.4470000000001</v>
      </c>
      <c r="F10" s="2">
        <v>3438.1640000000002</v>
      </c>
      <c r="G10" s="2">
        <v>3438.13</v>
      </c>
      <c r="H10" s="2">
        <v>3304.6909999999998</v>
      </c>
      <c r="I10" s="2">
        <v>3555.1039999999998</v>
      </c>
      <c r="J10" s="2">
        <v>3186.2130000000002</v>
      </c>
      <c r="K10" s="2">
        <v>3153.7460000000001</v>
      </c>
      <c r="L10" s="2">
        <v>3277.864</v>
      </c>
      <c r="M10" s="2">
        <v>3260.982</v>
      </c>
      <c r="N10" s="2">
        <v>3232.23</v>
      </c>
      <c r="O10" s="2">
        <v>3336.931</v>
      </c>
    </row>
    <row r="11" spans="1:15" x14ac:dyDescent="0.35">
      <c r="A11" s="3" t="s">
        <v>48</v>
      </c>
      <c r="B11" s="2">
        <v>740.66700000000003</v>
      </c>
      <c r="C11" s="2">
        <v>879.18600000000004</v>
      </c>
      <c r="D11" s="2">
        <v>791.93700000000001</v>
      </c>
      <c r="E11" s="2">
        <v>848.34100000000001</v>
      </c>
      <c r="F11" s="2">
        <v>752.79899999999998</v>
      </c>
      <c r="G11" s="2">
        <v>875.70100000000002</v>
      </c>
      <c r="H11" s="2">
        <v>815.827</v>
      </c>
      <c r="I11" s="2">
        <v>754.65099999999995</v>
      </c>
      <c r="J11" s="2">
        <v>778.59900000000005</v>
      </c>
      <c r="K11" s="2">
        <v>663.596</v>
      </c>
      <c r="L11" s="2">
        <v>702.03800000000001</v>
      </c>
      <c r="M11" s="2">
        <v>859.68399999999997</v>
      </c>
      <c r="N11" s="2">
        <v>565.48599999999999</v>
      </c>
      <c r="O11" s="2">
        <v>887.05199999999991</v>
      </c>
    </row>
    <row r="12" spans="1:15" x14ac:dyDescent="0.35">
      <c r="A12" s="3" t="s">
        <v>47</v>
      </c>
      <c r="B12" s="2">
        <v>2849.5479999999998</v>
      </c>
      <c r="C12" s="2">
        <v>2977.7040000000002</v>
      </c>
      <c r="D12" s="2">
        <v>2788.8380000000002</v>
      </c>
      <c r="E12" s="2">
        <v>3028.828</v>
      </c>
      <c r="F12" s="2">
        <v>2896.1689999999999</v>
      </c>
      <c r="G12" s="2">
        <v>3163.5430000000001</v>
      </c>
      <c r="H12" s="2">
        <v>3050.4229999999998</v>
      </c>
      <c r="I12" s="2">
        <v>2943.0819999999999</v>
      </c>
      <c r="J12" s="2">
        <v>2980.0990000000002</v>
      </c>
      <c r="K12" s="2">
        <v>2812.5149999999999</v>
      </c>
      <c r="L12" s="2">
        <v>2781.0309999999999</v>
      </c>
      <c r="M12" s="2">
        <v>2995.835</v>
      </c>
      <c r="N12" s="2">
        <v>2674.7719999999999</v>
      </c>
      <c r="O12" s="2">
        <v>3081.2159999999999</v>
      </c>
    </row>
    <row r="13" spans="1:15" x14ac:dyDescent="0.35">
      <c r="A13" s="3" t="s">
        <v>49</v>
      </c>
      <c r="B13" s="2">
        <v>2581.252</v>
      </c>
      <c r="C13" s="2">
        <v>2609.1309999999999</v>
      </c>
      <c r="D13" s="2">
        <v>2478.5729999999999</v>
      </c>
      <c r="E13" s="2">
        <v>2589.1280000000002</v>
      </c>
      <c r="F13" s="2">
        <v>2722.587</v>
      </c>
      <c r="G13" s="2">
        <v>2847.9169999999999</v>
      </c>
      <c r="H13" s="2">
        <v>2758.8220000000001</v>
      </c>
      <c r="I13" s="2">
        <v>2686.027</v>
      </c>
      <c r="J13" s="2">
        <v>2738.3629999999998</v>
      </c>
      <c r="K13" s="2">
        <v>2369.4720000000002</v>
      </c>
      <c r="L13" s="2">
        <v>2536.7510000000002</v>
      </c>
      <c r="M13" s="2">
        <v>2629.491</v>
      </c>
      <c r="N13" s="2">
        <v>2801.377</v>
      </c>
      <c r="O13" s="2">
        <v>2797.058</v>
      </c>
    </row>
    <row r="14" spans="1:15" x14ac:dyDescent="0.35">
      <c r="A14" s="3" t="s">
        <v>71</v>
      </c>
      <c r="B14" s="2">
        <v>360.12099999999998</v>
      </c>
      <c r="C14" s="2">
        <v>400.733</v>
      </c>
      <c r="D14" s="2">
        <v>372.11200000000002</v>
      </c>
      <c r="E14" s="2">
        <v>356.6</v>
      </c>
      <c r="F14" s="2">
        <v>235.666</v>
      </c>
      <c r="G14" s="2">
        <v>357.38099999999997</v>
      </c>
      <c r="H14" s="2">
        <v>285.56599999999997</v>
      </c>
      <c r="I14" s="2">
        <v>303.69099999999997</v>
      </c>
      <c r="J14" s="2">
        <v>275.88299999999998</v>
      </c>
      <c r="K14" s="2">
        <v>231.65799999999999</v>
      </c>
      <c r="L14" s="2">
        <v>274.03500000000003</v>
      </c>
      <c r="M14" s="2">
        <v>288.892</v>
      </c>
      <c r="N14" s="2">
        <v>226.25299999999999</v>
      </c>
      <c r="O14" s="2">
        <v>395.81900000000002</v>
      </c>
    </row>
    <row r="15" spans="1:15" x14ac:dyDescent="0.35">
      <c r="A15" s="3" t="s">
        <v>50</v>
      </c>
      <c r="B15" s="2">
        <v>2478.576</v>
      </c>
      <c r="C15" s="2">
        <v>2685.5239999999999</v>
      </c>
      <c r="D15" s="2">
        <v>2514.904</v>
      </c>
      <c r="E15" s="2">
        <v>2577.6289999999999</v>
      </c>
      <c r="F15" s="2">
        <v>2645</v>
      </c>
      <c r="G15" s="2">
        <v>2769.277</v>
      </c>
      <c r="H15" s="2">
        <v>2612.087</v>
      </c>
      <c r="I15" s="2">
        <v>2686.3359999999998</v>
      </c>
      <c r="J15" s="2">
        <v>2817.65</v>
      </c>
      <c r="K15" s="2">
        <v>2601.2260000000001</v>
      </c>
      <c r="L15" s="2">
        <v>2451.4229999999998</v>
      </c>
      <c r="M15" s="2">
        <v>2412.096</v>
      </c>
      <c r="N15" s="2">
        <v>2763.47</v>
      </c>
      <c r="O15" s="2">
        <v>2854.7089999999998</v>
      </c>
    </row>
    <row r="16" spans="1:15" x14ac:dyDescent="0.35">
      <c r="A16" s="3" t="s">
        <v>51</v>
      </c>
      <c r="B16" s="2">
        <v>2795.1010000000001</v>
      </c>
      <c r="C16" s="2">
        <v>2949.826</v>
      </c>
      <c r="D16" s="2">
        <v>2942.2710000000002</v>
      </c>
      <c r="E16" s="2">
        <v>2987.817</v>
      </c>
      <c r="F16" s="2">
        <v>3000.4059999999999</v>
      </c>
      <c r="G16" s="2">
        <v>3104.8229999999999</v>
      </c>
      <c r="H16" s="2">
        <v>3004.5050000000001</v>
      </c>
      <c r="I16" s="2">
        <v>2972.9459999999999</v>
      </c>
      <c r="J16" s="2">
        <v>3175.8719999999998</v>
      </c>
      <c r="K16" s="2">
        <v>3109.8760000000002</v>
      </c>
      <c r="L16" s="2">
        <v>2899.0239999999999</v>
      </c>
      <c r="M16" s="2">
        <v>2859.3139999999999</v>
      </c>
      <c r="N16" s="2">
        <v>3117.527</v>
      </c>
      <c r="O16" s="2">
        <v>3223.819</v>
      </c>
    </row>
    <row r="17" spans="1:15" x14ac:dyDescent="0.35">
      <c r="A17" s="3" t="s">
        <v>53</v>
      </c>
      <c r="B17" s="2">
        <v>2861.1819999999998</v>
      </c>
      <c r="C17" s="2">
        <v>2946.9929999999999</v>
      </c>
      <c r="D17" s="2">
        <v>2823.5459999999998</v>
      </c>
      <c r="E17" s="2">
        <v>2989.2730000000001</v>
      </c>
      <c r="F17" s="2">
        <v>3046.8359999999998</v>
      </c>
      <c r="G17" s="2">
        <v>2967.5970000000002</v>
      </c>
      <c r="H17" s="2">
        <v>2995.6179999999999</v>
      </c>
      <c r="I17" s="2">
        <v>3078.3879999999999</v>
      </c>
      <c r="J17" s="2">
        <v>2995.2310000000002</v>
      </c>
      <c r="K17" s="2">
        <v>2845.4789999999998</v>
      </c>
      <c r="L17" s="2">
        <v>2884.7429999999999</v>
      </c>
      <c r="M17" s="2">
        <v>2815.076</v>
      </c>
      <c r="N17" s="2">
        <v>2924.558</v>
      </c>
      <c r="O17" s="2">
        <v>3048.1669999999999</v>
      </c>
    </row>
    <row r="18" spans="1:15" x14ac:dyDescent="0.35">
      <c r="A18" s="3" t="s">
        <v>55</v>
      </c>
      <c r="B18" s="2">
        <v>1601.7670000000001</v>
      </c>
      <c r="C18" s="2">
        <v>1651.3409999999999</v>
      </c>
      <c r="D18" s="2">
        <v>1708.797</v>
      </c>
      <c r="E18" s="2">
        <v>1780.8150000000001</v>
      </c>
      <c r="F18" s="2">
        <v>1720.135</v>
      </c>
      <c r="G18" s="2">
        <v>1822.787</v>
      </c>
      <c r="H18" s="2">
        <v>1667.2829999999999</v>
      </c>
      <c r="I18" s="2">
        <v>1611.008</v>
      </c>
      <c r="J18" s="2">
        <v>1694.508</v>
      </c>
      <c r="K18" s="2">
        <v>1641.3430000000001</v>
      </c>
      <c r="L18" s="2">
        <v>1664.2049999999999</v>
      </c>
      <c r="M18" s="2">
        <v>1641.51</v>
      </c>
      <c r="N18" s="2">
        <v>1730.2449999999999</v>
      </c>
      <c r="O18" s="2">
        <v>1741.258</v>
      </c>
    </row>
    <row r="19" spans="1:15" x14ac:dyDescent="0.35">
      <c r="A19" s="3" t="s">
        <v>54</v>
      </c>
      <c r="B19" s="2">
        <v>1147.7439999999999</v>
      </c>
      <c r="C19" s="2">
        <v>1273.18</v>
      </c>
      <c r="D19" s="2">
        <v>1292.57</v>
      </c>
      <c r="E19" s="2">
        <v>1391.896</v>
      </c>
      <c r="F19" s="2">
        <v>1265.0150000000001</v>
      </c>
      <c r="G19" s="2">
        <v>1354.761</v>
      </c>
      <c r="H19" s="2">
        <v>1191.616</v>
      </c>
      <c r="I19" s="2">
        <v>1173.2380000000001</v>
      </c>
      <c r="J19" s="2">
        <v>1351.9359999999999</v>
      </c>
      <c r="K19" s="2">
        <v>1304.9690000000001</v>
      </c>
      <c r="L19" s="2">
        <v>1401.163</v>
      </c>
      <c r="M19" s="2">
        <v>1308.8510000000001</v>
      </c>
      <c r="N19" s="2">
        <v>1469.5170000000001</v>
      </c>
      <c r="O19" s="2">
        <v>1346.9380000000001</v>
      </c>
    </row>
    <row r="20" spans="1:15" x14ac:dyDescent="0.35">
      <c r="A20" s="3" t="s">
        <v>52</v>
      </c>
      <c r="B20" s="2">
        <v>2768.884</v>
      </c>
      <c r="C20" s="2">
        <v>2748.2689999999998</v>
      </c>
      <c r="D20" s="2">
        <v>2614.636</v>
      </c>
      <c r="E20" s="2">
        <v>2865.3989999999999</v>
      </c>
      <c r="F20" s="2">
        <v>2852.3760000000002</v>
      </c>
      <c r="G20" s="2">
        <v>2931.6770000000001</v>
      </c>
      <c r="H20" s="2">
        <v>3018.6120000000001</v>
      </c>
      <c r="I20" s="2">
        <v>3003.4070000000002</v>
      </c>
      <c r="J20" s="2">
        <v>2843.1419999999998</v>
      </c>
      <c r="K20" s="2">
        <v>2688.777</v>
      </c>
      <c r="L20" s="2">
        <v>2762.884</v>
      </c>
      <c r="M20" s="2">
        <v>2829.8130000000001</v>
      </c>
      <c r="N20" s="2">
        <v>2693.3110000000001</v>
      </c>
      <c r="O20" s="2">
        <v>2860.45</v>
      </c>
    </row>
    <row r="21" spans="1:15" x14ac:dyDescent="0.35">
      <c r="A21" s="3" t="s">
        <v>56</v>
      </c>
      <c r="B21" s="2">
        <v>1742.258</v>
      </c>
      <c r="C21" s="2">
        <v>1817.8140000000001</v>
      </c>
      <c r="D21" s="2">
        <v>1865.9349999999999</v>
      </c>
      <c r="E21" s="2">
        <v>1922.7</v>
      </c>
      <c r="F21" s="2">
        <v>1744.857</v>
      </c>
      <c r="G21" s="2">
        <v>1877.973</v>
      </c>
      <c r="H21" s="2">
        <v>1703.461</v>
      </c>
      <c r="I21" s="2">
        <v>1664.6110000000001</v>
      </c>
      <c r="J21" s="2">
        <v>1820.1610000000001</v>
      </c>
      <c r="K21" s="2">
        <v>1780.826</v>
      </c>
      <c r="L21" s="2">
        <v>1882.683</v>
      </c>
      <c r="M21" s="2">
        <v>1831.018</v>
      </c>
      <c r="N21" s="2">
        <v>1933.5060000000001</v>
      </c>
      <c r="O21" s="2">
        <v>1892.6569999999999</v>
      </c>
    </row>
    <row r="22" spans="1:15" x14ac:dyDescent="0.35">
      <c r="A22" s="3" t="s">
        <v>57</v>
      </c>
      <c r="B22" s="2">
        <v>1175.155</v>
      </c>
      <c r="C22" s="2">
        <v>1280.0989999999999</v>
      </c>
      <c r="D22" s="2">
        <v>1315.481</v>
      </c>
      <c r="E22" s="2">
        <v>1412.3320000000001</v>
      </c>
      <c r="F22" s="2">
        <v>1322.3979999999999</v>
      </c>
      <c r="G22" s="2">
        <v>1422.354</v>
      </c>
      <c r="H22" s="2">
        <v>1310.269</v>
      </c>
      <c r="I22" s="2">
        <v>1260.1469999999999</v>
      </c>
      <c r="J22" s="2">
        <v>1372.444</v>
      </c>
      <c r="K22" s="2">
        <v>1309.796</v>
      </c>
      <c r="L22" s="2">
        <v>1381.72</v>
      </c>
      <c r="M22" s="2">
        <v>1342.6659999999999</v>
      </c>
      <c r="N22" s="2">
        <v>1392.9659999999999</v>
      </c>
      <c r="O22" s="2">
        <v>1445.6990000000001</v>
      </c>
    </row>
    <row r="23" spans="1:15" x14ac:dyDescent="0.35">
      <c r="A23" s="3" t="s">
        <v>58</v>
      </c>
      <c r="B23" s="2">
        <v>2790.2049999999999</v>
      </c>
      <c r="C23" s="2">
        <v>2920.0259999999998</v>
      </c>
      <c r="D23" s="2">
        <v>2832.4720000000002</v>
      </c>
      <c r="E23" s="2">
        <v>2835.9029999999998</v>
      </c>
      <c r="F23" s="2">
        <v>2921.4780000000001</v>
      </c>
      <c r="G23" s="2">
        <v>3029.9589999999998</v>
      </c>
      <c r="H23" s="2">
        <v>2953.4789999999998</v>
      </c>
      <c r="I23" s="2">
        <v>2830.6579999999999</v>
      </c>
      <c r="J23" s="2">
        <v>2932.8040000000001</v>
      </c>
      <c r="K23" s="2">
        <v>2675.953</v>
      </c>
      <c r="L23" s="2">
        <v>2883.277</v>
      </c>
      <c r="M23" s="2">
        <v>2817.5450000000001</v>
      </c>
      <c r="N23" s="2">
        <v>2955.2840000000001</v>
      </c>
      <c r="O23" s="2">
        <v>3049.7260000000001</v>
      </c>
    </row>
    <row r="24" spans="1:15" x14ac:dyDescent="0.35">
      <c r="A24" s="3" t="s">
        <v>59</v>
      </c>
      <c r="B24" s="2">
        <v>2893.3440000000001</v>
      </c>
      <c r="C24" s="2">
        <v>3000.2150000000001</v>
      </c>
      <c r="D24" s="2">
        <v>2883.6190000000001</v>
      </c>
      <c r="E24" s="2">
        <v>2884.4090000000001</v>
      </c>
      <c r="F24" s="2">
        <v>2803.962</v>
      </c>
      <c r="G24" s="2">
        <v>3125.8119999999999</v>
      </c>
      <c r="H24" s="2">
        <v>2970.5259999999998</v>
      </c>
      <c r="I24" s="2">
        <v>2868.694</v>
      </c>
      <c r="J24" s="2">
        <v>2794.26</v>
      </c>
      <c r="K24" s="2">
        <v>2630.6660000000002</v>
      </c>
      <c r="L24" s="2">
        <v>2820.0349999999999</v>
      </c>
      <c r="M24" s="2">
        <v>2882.8789999999999</v>
      </c>
      <c r="N24" s="2">
        <v>2445.8780000000002</v>
      </c>
      <c r="O24" s="2">
        <v>3010.5129999999999</v>
      </c>
    </row>
    <row r="25" spans="1:15" x14ac:dyDescent="0.35">
      <c r="A25" s="3" t="s">
        <v>73</v>
      </c>
      <c r="B25" s="2">
        <v>3592.1680000000001</v>
      </c>
      <c r="C25" s="2">
        <v>3641.9780000000001</v>
      </c>
      <c r="D25" s="2">
        <v>3655.7440000000001</v>
      </c>
      <c r="E25" s="2">
        <v>3664.6709999999998</v>
      </c>
      <c r="F25" s="2">
        <v>3660.6289999999999</v>
      </c>
      <c r="G25" s="2">
        <v>3723.018</v>
      </c>
      <c r="H25" s="2">
        <v>3708.23</v>
      </c>
      <c r="I25" s="2">
        <v>3632.0819999999999</v>
      </c>
      <c r="J25" s="2">
        <v>3769.701</v>
      </c>
      <c r="K25" s="2">
        <v>3727.402</v>
      </c>
      <c r="L25" s="2">
        <v>3592.183</v>
      </c>
      <c r="M25" s="2">
        <v>3558.8919999999998</v>
      </c>
      <c r="N25" s="2">
        <v>3722.2629999999999</v>
      </c>
      <c r="O25" s="2">
        <v>3843.6889999999999</v>
      </c>
    </row>
    <row r="26" spans="1:15" x14ac:dyDescent="0.35">
      <c r="A26" s="3" t="s">
        <v>60</v>
      </c>
      <c r="B26" s="2">
        <v>3032.598</v>
      </c>
      <c r="C26" s="2">
        <v>2929.431</v>
      </c>
      <c r="D26" s="2">
        <v>2884.8939999999998</v>
      </c>
      <c r="E26" s="2">
        <v>3074.7829999999999</v>
      </c>
      <c r="F26" s="2">
        <v>3045.3719999999998</v>
      </c>
      <c r="G26" s="2">
        <v>3185.1970000000001</v>
      </c>
      <c r="H26" s="2">
        <v>3155.52</v>
      </c>
      <c r="I26" s="2">
        <v>3174.4760000000001</v>
      </c>
      <c r="J26" s="2">
        <v>3036.4189999999999</v>
      </c>
      <c r="K26" s="2">
        <v>3048.6889999999999</v>
      </c>
      <c r="L26" s="2">
        <v>3094.3560000000002</v>
      </c>
      <c r="M26" s="2">
        <v>3128.306</v>
      </c>
      <c r="N26" s="2">
        <v>2890.3969999999999</v>
      </c>
      <c r="O26" s="2">
        <v>3169.0120000000002</v>
      </c>
    </row>
    <row r="27" spans="1:15" x14ac:dyDescent="0.35">
      <c r="A27" s="3" t="s">
        <v>61</v>
      </c>
      <c r="B27" s="2">
        <v>0</v>
      </c>
      <c r="C27" s="2">
        <v>1.4199999999999979</v>
      </c>
      <c r="D27" s="2">
        <v>0.75899999999999679</v>
      </c>
      <c r="E27" s="2">
        <v>8.0999999999999517E-2</v>
      </c>
      <c r="F27" s="2">
        <v>0</v>
      </c>
      <c r="G27" s="2">
        <v>0.16300000000000031</v>
      </c>
      <c r="H27" s="2">
        <v>0.56200000000000117</v>
      </c>
      <c r="I27" s="2">
        <v>0.50999999999999446</v>
      </c>
      <c r="J27" s="2">
        <v>1.335999999999999</v>
      </c>
      <c r="K27" s="2">
        <v>0.7289999999999992</v>
      </c>
      <c r="L27" s="2">
        <v>4.0000000000013358E-3</v>
      </c>
      <c r="M27" s="2">
        <v>1.0750000000000031</v>
      </c>
      <c r="N27" s="2">
        <v>1.593</v>
      </c>
      <c r="O27" s="2">
        <v>5.8149999999999977</v>
      </c>
    </row>
    <row r="28" spans="1:15" x14ac:dyDescent="0.35">
      <c r="A28" s="3" t="s">
        <v>63</v>
      </c>
      <c r="B28" s="2">
        <v>3194.02</v>
      </c>
      <c r="C28" s="2">
        <v>3317.741</v>
      </c>
      <c r="D28" s="2">
        <v>3022.1260000000002</v>
      </c>
      <c r="E28" s="2">
        <v>3231.1289999999999</v>
      </c>
      <c r="F28" s="2">
        <v>3465.0540000000001</v>
      </c>
      <c r="G28" s="2">
        <v>3254.7820000000002</v>
      </c>
      <c r="H28" s="2">
        <v>3242.1840000000002</v>
      </c>
      <c r="I28" s="2">
        <v>3347.81</v>
      </c>
      <c r="J28" s="2">
        <v>3393.8879999999999</v>
      </c>
      <c r="K28" s="2">
        <v>3098.5410000000002</v>
      </c>
      <c r="L28" s="2">
        <v>3012.3290000000002</v>
      </c>
      <c r="M28" s="2">
        <v>3063.9279999999999</v>
      </c>
      <c r="N28" s="2">
        <v>3219.1170000000002</v>
      </c>
      <c r="O28" s="2">
        <v>3353.4589999999998</v>
      </c>
    </row>
    <row r="29" spans="1:15" x14ac:dyDescent="0.35">
      <c r="A29" s="3" t="s">
        <v>62</v>
      </c>
      <c r="B29" s="2">
        <v>3147.4250000000002</v>
      </c>
      <c r="C29" s="2">
        <v>3344.1039999999998</v>
      </c>
      <c r="D29" s="2">
        <v>3337.6460000000002</v>
      </c>
      <c r="E29" s="2">
        <v>3319.7669999999998</v>
      </c>
      <c r="F29" s="2">
        <v>3247.444</v>
      </c>
      <c r="G29" s="2">
        <v>3483.93</v>
      </c>
      <c r="H29" s="2">
        <v>3338.5569999999998</v>
      </c>
      <c r="I29" s="2">
        <v>3287.797</v>
      </c>
      <c r="J29" s="2">
        <v>3493.223</v>
      </c>
      <c r="K29" s="2">
        <v>3327.4679999999998</v>
      </c>
      <c r="L29" s="2">
        <v>3065.5970000000002</v>
      </c>
      <c r="M29" s="2">
        <v>3095.7890000000002</v>
      </c>
      <c r="N29" s="2">
        <v>3346.9569999999999</v>
      </c>
      <c r="O29" s="2">
        <v>3455.7719999999999</v>
      </c>
    </row>
    <row r="30" spans="1:15" x14ac:dyDescent="0.35">
      <c r="A30" s="3" t="s">
        <v>64</v>
      </c>
      <c r="B30" s="2">
        <v>2508.1239999999998</v>
      </c>
      <c r="C30" s="2">
        <v>2508.44</v>
      </c>
      <c r="D30" s="2">
        <v>2597.3470000000002</v>
      </c>
      <c r="E30" s="2">
        <v>2679.6489999999999</v>
      </c>
      <c r="F30" s="2">
        <v>2543.1239999999998</v>
      </c>
      <c r="G30" s="2">
        <v>2697.5619999999999</v>
      </c>
      <c r="H30" s="2">
        <v>2468.241</v>
      </c>
      <c r="I30" s="2">
        <v>2411.3580000000002</v>
      </c>
      <c r="J30" s="2">
        <v>2568.7800000000002</v>
      </c>
      <c r="K30" s="2">
        <v>2486.5529999999999</v>
      </c>
      <c r="L30" s="2">
        <v>2592.828</v>
      </c>
      <c r="M30" s="2">
        <v>2506.0920000000001</v>
      </c>
      <c r="N30" s="2">
        <v>2679.2750000000001</v>
      </c>
      <c r="O30" s="2">
        <v>2591.8989999999999</v>
      </c>
    </row>
    <row r="31" spans="1:15" x14ac:dyDescent="0.35">
      <c r="A31" s="3" t="s">
        <v>66</v>
      </c>
      <c r="B31" s="2">
        <v>2869.047</v>
      </c>
      <c r="C31" s="2">
        <v>2977.692</v>
      </c>
      <c r="D31" s="2">
        <v>2772.181</v>
      </c>
      <c r="E31" s="2">
        <v>3105.1790000000001</v>
      </c>
      <c r="F31" s="2">
        <v>3162.8420000000001</v>
      </c>
      <c r="G31" s="2">
        <v>3176.587</v>
      </c>
      <c r="H31" s="2">
        <v>3193.529</v>
      </c>
      <c r="I31" s="2">
        <v>3111.953</v>
      </c>
      <c r="J31" s="2">
        <v>3051.0079999999998</v>
      </c>
      <c r="K31" s="2">
        <v>2812.0650000000001</v>
      </c>
      <c r="L31" s="2">
        <v>2838.3220000000001</v>
      </c>
      <c r="M31" s="2">
        <v>3085.04</v>
      </c>
      <c r="N31" s="2">
        <v>2939.107</v>
      </c>
      <c r="O31" s="2">
        <v>3098.0419999999999</v>
      </c>
    </row>
    <row r="32" spans="1:15" x14ac:dyDescent="0.35">
      <c r="A32" s="3" t="s">
        <v>65</v>
      </c>
      <c r="B32" s="2">
        <v>1183.9949999999999</v>
      </c>
      <c r="C32" s="2">
        <v>1418.3489999999999</v>
      </c>
      <c r="D32" s="2">
        <v>1247.886</v>
      </c>
      <c r="E32" s="2">
        <v>1389.624</v>
      </c>
      <c r="F32" s="2">
        <v>1327.165</v>
      </c>
      <c r="G32" s="2">
        <v>1484.905</v>
      </c>
      <c r="H32" s="2">
        <v>1458.1379999999999</v>
      </c>
      <c r="I32" s="2">
        <v>1351.1420000000001</v>
      </c>
      <c r="J32" s="2">
        <v>1413.953</v>
      </c>
      <c r="K32" s="2">
        <v>1194.182</v>
      </c>
      <c r="L32" s="2">
        <v>1250.6420000000001</v>
      </c>
      <c r="M32" s="2">
        <v>1504.1179999999999</v>
      </c>
      <c r="N32" s="2">
        <v>1131.5319999999999</v>
      </c>
      <c r="O32" s="2">
        <v>1532.703</v>
      </c>
    </row>
    <row r="33" spans="1:15" x14ac:dyDescent="0.35">
      <c r="A33" s="3" t="s">
        <v>67</v>
      </c>
      <c r="B33" s="2">
        <v>2735.212</v>
      </c>
      <c r="C33" s="2">
        <v>2747.9720000000002</v>
      </c>
      <c r="D33" s="2">
        <v>2712.1410000000001</v>
      </c>
      <c r="E33" s="2">
        <v>2812.4070000000002</v>
      </c>
      <c r="F33" s="2">
        <v>2894.6329999999998</v>
      </c>
      <c r="G33" s="2">
        <v>2997.5</v>
      </c>
      <c r="H33" s="2">
        <v>2812.8530000000001</v>
      </c>
      <c r="I33" s="2">
        <v>2717.8960000000002</v>
      </c>
      <c r="J33" s="2">
        <v>2871.366</v>
      </c>
      <c r="K33" s="2">
        <v>2603.9839999999999</v>
      </c>
      <c r="L33" s="2">
        <v>2801.4780000000001</v>
      </c>
      <c r="M33" s="2">
        <v>2677.9140000000002</v>
      </c>
      <c r="N33" s="2">
        <v>3000.9639999999999</v>
      </c>
      <c r="O33" s="2">
        <v>2929.9580000000001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3B421-E734-4CB8-A930-3F19F00138F5}">
  <dimension ref="A1:O33"/>
  <sheetViews>
    <sheetView workbookViewId="0">
      <selection activeCell="C1" sqref="A1:C1048576"/>
    </sheetView>
  </sheetViews>
  <sheetFormatPr baseColWidth="10" defaultRowHeight="14.5" x14ac:dyDescent="0.35"/>
  <sheetData>
    <row r="1" spans="1:15" x14ac:dyDescent="0.35">
      <c r="A1" s="14" t="s">
        <v>75</v>
      </c>
      <c r="B1" s="4">
        <v>2011</v>
      </c>
      <c r="C1" s="4">
        <v>2012</v>
      </c>
      <c r="D1" s="4">
        <v>2013</v>
      </c>
      <c r="E1" s="4">
        <v>2014</v>
      </c>
      <c r="F1" s="4">
        <v>2015</v>
      </c>
      <c r="G1" s="4">
        <v>2016</v>
      </c>
      <c r="H1" s="4">
        <v>2017</v>
      </c>
      <c r="I1" s="4">
        <v>2018</v>
      </c>
      <c r="J1" s="4">
        <v>2019</v>
      </c>
      <c r="K1" s="4">
        <v>2020</v>
      </c>
      <c r="L1" s="4">
        <v>2021</v>
      </c>
      <c r="M1" s="4">
        <v>2022</v>
      </c>
      <c r="N1" s="4">
        <v>2023</v>
      </c>
      <c r="O1" s="4">
        <v>2024</v>
      </c>
    </row>
    <row r="2" spans="1:15" x14ac:dyDescent="0.35">
      <c r="A2" s="3" t="s">
        <v>39</v>
      </c>
      <c r="B2" s="2">
        <v>2474.0189999999998</v>
      </c>
      <c r="C2" s="2">
        <v>2540.8649999999998</v>
      </c>
      <c r="D2" s="2">
        <v>2425.8029999999999</v>
      </c>
      <c r="E2" s="2">
        <v>2511.5030000000002</v>
      </c>
      <c r="F2" s="2">
        <v>2503.7849999999999</v>
      </c>
      <c r="G2" s="2">
        <v>2565.8539999999998</v>
      </c>
      <c r="H2" s="2">
        <v>2526.998</v>
      </c>
      <c r="I2" s="2">
        <v>2594.0830000000001</v>
      </c>
      <c r="J2" s="2">
        <v>2616.7570000000001</v>
      </c>
      <c r="K2" s="2">
        <v>2495.3910000000001</v>
      </c>
      <c r="L2" s="2">
        <v>2442.8710000000001</v>
      </c>
      <c r="M2" s="2">
        <v>2398.694</v>
      </c>
      <c r="N2" s="2">
        <v>2640.0619999999999</v>
      </c>
      <c r="O2" s="2">
        <v>2688.9929999999999</v>
      </c>
    </row>
    <row r="3" spans="1:15" x14ac:dyDescent="0.35">
      <c r="A3" s="3" t="s">
        <v>40</v>
      </c>
      <c r="B3" s="2">
        <v>681.45299999999997</v>
      </c>
      <c r="C3" s="2">
        <v>707.60900000000004</v>
      </c>
      <c r="D3" s="2">
        <v>754.72299999999996</v>
      </c>
      <c r="E3" s="2">
        <v>765.75800000000004</v>
      </c>
      <c r="F3" s="2">
        <v>689.59</v>
      </c>
      <c r="G3" s="2">
        <v>755.80799999999999</v>
      </c>
      <c r="H3" s="2">
        <v>751.95899999999995</v>
      </c>
      <c r="I3" s="2">
        <v>720.08199999999999</v>
      </c>
      <c r="J3" s="2">
        <v>768.81799999999998</v>
      </c>
      <c r="K3" s="2">
        <v>732.51900000000001</v>
      </c>
      <c r="L3" s="2">
        <v>760.61199999999997</v>
      </c>
      <c r="M3" s="2">
        <v>738.68100000000004</v>
      </c>
      <c r="N3" s="2">
        <v>758.35900000000004</v>
      </c>
      <c r="O3" s="2">
        <v>819.85599999999999</v>
      </c>
    </row>
    <row r="4" spans="1:15" x14ac:dyDescent="0.35">
      <c r="A4" s="3" t="s">
        <v>41</v>
      </c>
      <c r="B4" s="2">
        <v>1610.9639999999999</v>
      </c>
      <c r="C4" s="2">
        <v>1666.9290000000001</v>
      </c>
      <c r="D4" s="2">
        <v>1722.6210000000001</v>
      </c>
      <c r="E4" s="2">
        <v>1814.9680000000001</v>
      </c>
      <c r="F4" s="2">
        <v>1749.7049999999999</v>
      </c>
      <c r="G4" s="2">
        <v>1852.269</v>
      </c>
      <c r="H4" s="2">
        <v>1748.6969999999999</v>
      </c>
      <c r="I4" s="2">
        <v>1694.779</v>
      </c>
      <c r="J4" s="2">
        <v>1744.2919999999999</v>
      </c>
      <c r="K4" s="2">
        <v>1703.14</v>
      </c>
      <c r="L4" s="2">
        <v>1743.7909999999999</v>
      </c>
      <c r="M4" s="2">
        <v>1701.701</v>
      </c>
      <c r="N4" s="2">
        <v>1826.374</v>
      </c>
      <c r="O4" s="2">
        <v>1838.913</v>
      </c>
    </row>
    <row r="5" spans="1:15" x14ac:dyDescent="0.35">
      <c r="A5" s="3" t="s">
        <v>42</v>
      </c>
      <c r="B5" s="2">
        <v>2178.2179999999998</v>
      </c>
      <c r="C5" s="2">
        <v>2202.1149999999998</v>
      </c>
      <c r="D5" s="2">
        <v>2152.3539999999998</v>
      </c>
      <c r="E5" s="2">
        <v>2241.4270000000001</v>
      </c>
      <c r="F5" s="2">
        <v>2392.4319999999998</v>
      </c>
      <c r="G5" s="2">
        <v>2428.683</v>
      </c>
      <c r="H5" s="2">
        <v>2398.7579999999998</v>
      </c>
      <c r="I5" s="2">
        <v>2418.15</v>
      </c>
      <c r="J5" s="2">
        <v>2347.0889999999999</v>
      </c>
      <c r="K5" s="2">
        <v>2077.4679999999998</v>
      </c>
      <c r="L5" s="2">
        <v>2127.3000000000002</v>
      </c>
      <c r="M5" s="2">
        <v>2289.2379999999998</v>
      </c>
      <c r="N5" s="2">
        <v>2365.5650000000001</v>
      </c>
      <c r="O5" s="2">
        <v>2378.8809999999999</v>
      </c>
    </row>
    <row r="6" spans="1:15" x14ac:dyDescent="0.35">
      <c r="A6" s="3" t="s">
        <v>69</v>
      </c>
      <c r="B6" s="2">
        <v>1608.0260000000001</v>
      </c>
      <c r="C6" s="2">
        <v>1779.692</v>
      </c>
      <c r="D6" s="2">
        <v>1658.454</v>
      </c>
      <c r="E6" s="2">
        <v>1794.8710000000001</v>
      </c>
      <c r="F6" s="2">
        <v>1686.883</v>
      </c>
      <c r="G6" s="2">
        <v>1886.0889999999999</v>
      </c>
      <c r="H6" s="2">
        <v>1758.27</v>
      </c>
      <c r="I6" s="2">
        <v>1646.9960000000001</v>
      </c>
      <c r="J6" s="2">
        <v>1690.337</v>
      </c>
      <c r="K6" s="2">
        <v>1600.5170000000001</v>
      </c>
      <c r="L6" s="2">
        <v>1669.864</v>
      </c>
      <c r="M6" s="2">
        <v>1766.1379999999999</v>
      </c>
      <c r="N6" s="2">
        <v>1440.798</v>
      </c>
      <c r="O6" s="2">
        <v>1839.3979999999999</v>
      </c>
    </row>
    <row r="7" spans="1:15" x14ac:dyDescent="0.35">
      <c r="A7" s="3" t="s">
        <v>43</v>
      </c>
      <c r="B7" s="2">
        <v>1951.373</v>
      </c>
      <c r="C7" s="2">
        <v>1990.498</v>
      </c>
      <c r="D7" s="2">
        <v>1950.9559999999999</v>
      </c>
      <c r="E7" s="2">
        <v>1988.6780000000001</v>
      </c>
      <c r="F7" s="2">
        <v>2047.6189999999999</v>
      </c>
      <c r="G7" s="2">
        <v>2181.3530000000001</v>
      </c>
      <c r="H7" s="2">
        <v>2142.7620000000002</v>
      </c>
      <c r="I7" s="2">
        <v>2082.069</v>
      </c>
      <c r="J7" s="2">
        <v>2123.0100000000002</v>
      </c>
      <c r="K7" s="2">
        <v>1860.1659999999999</v>
      </c>
      <c r="L7" s="2">
        <v>1973.0640000000001</v>
      </c>
      <c r="M7" s="2">
        <v>2020.1420000000001</v>
      </c>
      <c r="N7" s="2">
        <v>1992.6110000000001</v>
      </c>
      <c r="O7" s="2">
        <v>2132.268</v>
      </c>
    </row>
    <row r="8" spans="1:15" x14ac:dyDescent="0.35">
      <c r="A8" s="3" t="s">
        <v>44</v>
      </c>
      <c r="B8" s="2">
        <v>2155.1439999999998</v>
      </c>
      <c r="C8" s="2">
        <v>2202.8629999999998</v>
      </c>
      <c r="D8" s="2">
        <v>2077.1060000000002</v>
      </c>
      <c r="E8" s="2">
        <v>2283.3159999999998</v>
      </c>
      <c r="F8" s="2">
        <v>2208.7640000000001</v>
      </c>
      <c r="G8" s="2">
        <v>2362.4679999999998</v>
      </c>
      <c r="H8" s="2">
        <v>2315.9079999999999</v>
      </c>
      <c r="I8" s="2">
        <v>2231.598</v>
      </c>
      <c r="J8" s="2">
        <v>2315.4340000000002</v>
      </c>
      <c r="K8" s="2">
        <v>2220.5590000000002</v>
      </c>
      <c r="L8" s="2">
        <v>2119.252</v>
      </c>
      <c r="M8" s="2">
        <v>2338.3119999999999</v>
      </c>
      <c r="N8" s="2">
        <v>2085.348</v>
      </c>
      <c r="O8" s="2">
        <v>2314.125</v>
      </c>
    </row>
    <row r="9" spans="1:15" x14ac:dyDescent="0.35">
      <c r="A9" s="3" t="s">
        <v>45</v>
      </c>
      <c r="B9" s="2">
        <v>2467.6460000000002</v>
      </c>
      <c r="C9" s="2">
        <v>2491.9920000000002</v>
      </c>
      <c r="D9" s="2">
        <v>2484.5479999999998</v>
      </c>
      <c r="E9" s="2">
        <v>2578.596</v>
      </c>
      <c r="F9" s="2">
        <v>2631.1579999999999</v>
      </c>
      <c r="G9" s="2">
        <v>2521.7570000000001</v>
      </c>
      <c r="H9" s="2">
        <v>2570.1550000000002</v>
      </c>
      <c r="I9" s="2">
        <v>2563.9279999999999</v>
      </c>
      <c r="J9" s="2">
        <v>2603.556</v>
      </c>
      <c r="K9" s="2">
        <v>2610.723</v>
      </c>
      <c r="L9" s="2">
        <v>2624.4459999999999</v>
      </c>
      <c r="M9" s="2">
        <v>2481.8159999999998</v>
      </c>
      <c r="N9" s="2">
        <v>2737.0680000000002</v>
      </c>
      <c r="O9" s="2">
        <v>2749.904</v>
      </c>
    </row>
    <row r="10" spans="1:15" x14ac:dyDescent="0.35">
      <c r="A10" s="3" t="s">
        <v>46</v>
      </c>
      <c r="B10" s="2">
        <v>2429.2249999999999</v>
      </c>
      <c r="C10" s="2">
        <v>2400.299</v>
      </c>
      <c r="D10" s="2">
        <v>2280.2689999999998</v>
      </c>
      <c r="E10" s="2">
        <v>2507.732</v>
      </c>
      <c r="F10" s="2">
        <v>2573.1759999999999</v>
      </c>
      <c r="G10" s="2">
        <v>2535.877</v>
      </c>
      <c r="H10" s="2">
        <v>2451.11</v>
      </c>
      <c r="I10" s="2">
        <v>2631.098</v>
      </c>
      <c r="J10" s="2">
        <v>2384.0659999999998</v>
      </c>
      <c r="K10" s="2">
        <v>2393.3530000000001</v>
      </c>
      <c r="L10" s="2">
        <v>2465.5189999999998</v>
      </c>
      <c r="M10" s="2">
        <v>2421.393</v>
      </c>
      <c r="N10" s="2">
        <v>2420.5729999999999</v>
      </c>
      <c r="O10" s="2">
        <v>2515.4180000000001</v>
      </c>
    </row>
    <row r="11" spans="1:15" x14ac:dyDescent="0.35">
      <c r="A11" s="3" t="s">
        <v>48</v>
      </c>
      <c r="B11" s="2">
        <v>791.97199999999998</v>
      </c>
      <c r="C11" s="2">
        <v>886.28599999999994</v>
      </c>
      <c r="D11" s="2">
        <v>823.23900000000003</v>
      </c>
      <c r="E11" s="2">
        <v>861.32100000000003</v>
      </c>
      <c r="F11" s="2">
        <v>805.58500000000004</v>
      </c>
      <c r="G11" s="2">
        <v>908.60400000000004</v>
      </c>
      <c r="H11" s="2">
        <v>859.98099999999999</v>
      </c>
      <c r="I11" s="2">
        <v>805.71199999999999</v>
      </c>
      <c r="J11" s="2">
        <v>814.84900000000005</v>
      </c>
      <c r="K11" s="2">
        <v>744.23</v>
      </c>
      <c r="L11" s="2">
        <v>786.48099999999999</v>
      </c>
      <c r="M11" s="2">
        <v>877.32899999999995</v>
      </c>
      <c r="N11" s="2">
        <v>660.44</v>
      </c>
      <c r="O11" s="2">
        <v>910.673</v>
      </c>
    </row>
    <row r="12" spans="1:15" x14ac:dyDescent="0.35">
      <c r="A12" s="3" t="s">
        <v>47</v>
      </c>
      <c r="B12" s="2">
        <v>2140.8629999999998</v>
      </c>
      <c r="C12" s="2">
        <v>2181.8409999999999</v>
      </c>
      <c r="D12" s="2">
        <v>2103.3240000000001</v>
      </c>
      <c r="E12" s="2">
        <v>2240.08</v>
      </c>
      <c r="F12" s="2">
        <v>2154.6790000000001</v>
      </c>
      <c r="G12" s="2">
        <v>2345.096</v>
      </c>
      <c r="H12" s="2">
        <v>2284.6509999999998</v>
      </c>
      <c r="I12" s="2">
        <v>2188.2829999999999</v>
      </c>
      <c r="J12" s="2">
        <v>2238.3739999999998</v>
      </c>
      <c r="K12" s="2">
        <v>2148.8069999999998</v>
      </c>
      <c r="L12" s="2">
        <v>2109.9929999999999</v>
      </c>
      <c r="M12" s="2">
        <v>2256.3760000000002</v>
      </c>
      <c r="N12" s="2">
        <v>2034.01</v>
      </c>
      <c r="O12" s="2">
        <v>2311.7489999999998</v>
      </c>
    </row>
    <row r="13" spans="1:15" x14ac:dyDescent="0.35">
      <c r="A13" s="3" t="s">
        <v>49</v>
      </c>
      <c r="B13" s="2">
        <v>1955.691</v>
      </c>
      <c r="C13" s="2">
        <v>1964.1759999999999</v>
      </c>
      <c r="D13" s="2">
        <v>1890.011</v>
      </c>
      <c r="E13" s="2">
        <v>1977.1790000000001</v>
      </c>
      <c r="F13" s="2">
        <v>2053.8159999999998</v>
      </c>
      <c r="G13" s="2">
        <v>2154.7910000000002</v>
      </c>
      <c r="H13" s="2">
        <v>2101.6370000000002</v>
      </c>
      <c r="I13" s="2">
        <v>2041.16</v>
      </c>
      <c r="J13" s="2">
        <v>2080.9349999999999</v>
      </c>
      <c r="K13" s="2">
        <v>1835.9359999999999</v>
      </c>
      <c r="L13" s="2">
        <v>1925.614</v>
      </c>
      <c r="M13" s="2">
        <v>2026.634</v>
      </c>
      <c r="N13" s="2">
        <v>2103.982</v>
      </c>
      <c r="O13" s="2">
        <v>2139.4180000000001</v>
      </c>
    </row>
    <row r="14" spans="1:15" x14ac:dyDescent="0.35">
      <c r="A14" s="3" t="s">
        <v>71</v>
      </c>
      <c r="B14" s="2">
        <v>472.45800000000003</v>
      </c>
      <c r="C14" s="2">
        <v>501.27199999999999</v>
      </c>
      <c r="D14" s="2">
        <v>485.88</v>
      </c>
      <c r="E14" s="2">
        <v>472.697</v>
      </c>
      <c r="F14" s="2">
        <v>428.11200000000002</v>
      </c>
      <c r="G14" s="2">
        <v>500.16699999999997</v>
      </c>
      <c r="H14" s="2">
        <v>468.21899999999999</v>
      </c>
      <c r="I14" s="2">
        <v>443.03399999999999</v>
      </c>
      <c r="J14" s="2">
        <v>431.58199999999999</v>
      </c>
      <c r="K14" s="2">
        <v>387.221</v>
      </c>
      <c r="L14" s="2">
        <v>432.11</v>
      </c>
      <c r="M14" s="2">
        <v>457.00299999999999</v>
      </c>
      <c r="N14" s="2">
        <v>368.67500000000001</v>
      </c>
      <c r="O14" s="2">
        <v>499.91199999999998</v>
      </c>
    </row>
    <row r="15" spans="1:15" x14ac:dyDescent="0.35">
      <c r="A15" s="3" t="s">
        <v>50</v>
      </c>
      <c r="B15" s="2">
        <v>1734.6969999999999</v>
      </c>
      <c r="C15" s="2">
        <v>1889.0450000000001</v>
      </c>
      <c r="D15" s="2">
        <v>1754.5519999999999</v>
      </c>
      <c r="E15" s="2">
        <v>1816.9359999999999</v>
      </c>
      <c r="F15" s="2">
        <v>1886.2170000000001</v>
      </c>
      <c r="G15" s="2">
        <v>1966.6179999999999</v>
      </c>
      <c r="H15" s="2">
        <v>1848.1379999999999</v>
      </c>
      <c r="I15" s="2">
        <v>1896.098</v>
      </c>
      <c r="J15" s="2">
        <v>2007.7180000000001</v>
      </c>
      <c r="K15" s="2">
        <v>1851.5609999999999</v>
      </c>
      <c r="L15" s="2">
        <v>1724.5730000000001</v>
      </c>
      <c r="M15" s="2">
        <v>1694.087</v>
      </c>
      <c r="N15" s="2">
        <v>1991.759</v>
      </c>
      <c r="O15" s="2">
        <v>2060.6669999999999</v>
      </c>
    </row>
    <row r="16" spans="1:15" x14ac:dyDescent="0.35">
      <c r="A16" s="3" t="s">
        <v>51</v>
      </c>
      <c r="B16" s="2">
        <v>2107.7159999999999</v>
      </c>
      <c r="C16" s="2">
        <v>2241.2620000000002</v>
      </c>
      <c r="D16" s="2">
        <v>2225.5529999999999</v>
      </c>
      <c r="E16" s="2">
        <v>2268.1149999999998</v>
      </c>
      <c r="F16" s="2">
        <v>2297.7060000000001</v>
      </c>
      <c r="G16" s="2">
        <v>2393.8919999999998</v>
      </c>
      <c r="H16" s="2">
        <v>2292.7269999999999</v>
      </c>
      <c r="I16" s="2">
        <v>2255.9940000000001</v>
      </c>
      <c r="J16" s="2">
        <v>2458.8510000000001</v>
      </c>
      <c r="K16" s="2">
        <v>2399.527</v>
      </c>
      <c r="L16" s="2">
        <v>2203.4409999999998</v>
      </c>
      <c r="M16" s="2">
        <v>2177.5929999999998</v>
      </c>
      <c r="N16" s="2">
        <v>2416.7930000000001</v>
      </c>
      <c r="O16" s="2">
        <v>2516.3910000000001</v>
      </c>
    </row>
    <row r="17" spans="1:15" x14ac:dyDescent="0.35">
      <c r="A17" s="3" t="s">
        <v>53</v>
      </c>
      <c r="B17" s="2">
        <v>2056.3589999999999</v>
      </c>
      <c r="C17" s="2">
        <v>2097.5300000000002</v>
      </c>
      <c r="D17" s="2">
        <v>2013.33</v>
      </c>
      <c r="E17" s="2">
        <v>2168.1880000000001</v>
      </c>
      <c r="F17" s="2">
        <v>2229.6439999999998</v>
      </c>
      <c r="G17" s="2">
        <v>2131.527</v>
      </c>
      <c r="H17" s="2">
        <v>2165.3180000000002</v>
      </c>
      <c r="I17" s="2">
        <v>2213.547</v>
      </c>
      <c r="J17" s="2">
        <v>2158.5059999999999</v>
      </c>
      <c r="K17" s="2">
        <v>2090.77</v>
      </c>
      <c r="L17" s="2">
        <v>2100.152</v>
      </c>
      <c r="M17" s="2">
        <v>2028.9549999999999</v>
      </c>
      <c r="N17" s="2">
        <v>2122.7339999999999</v>
      </c>
      <c r="O17" s="2">
        <v>2244.567</v>
      </c>
    </row>
    <row r="18" spans="1:15" x14ac:dyDescent="0.35">
      <c r="A18" s="3" t="s">
        <v>55</v>
      </c>
      <c r="B18" s="2">
        <v>1267.925</v>
      </c>
      <c r="C18" s="2">
        <v>1283.924</v>
      </c>
      <c r="D18" s="2">
        <v>1315.4929999999999</v>
      </c>
      <c r="E18" s="2">
        <v>1392.2</v>
      </c>
      <c r="F18" s="2">
        <v>1338.624</v>
      </c>
      <c r="G18" s="2">
        <v>1422.201</v>
      </c>
      <c r="H18" s="2">
        <v>1318.92</v>
      </c>
      <c r="I18" s="2">
        <v>1274.1210000000001</v>
      </c>
      <c r="J18" s="2">
        <v>1344.9970000000001</v>
      </c>
      <c r="K18" s="2">
        <v>1294.1310000000001</v>
      </c>
      <c r="L18" s="2">
        <v>1311.9079999999999</v>
      </c>
      <c r="M18" s="2">
        <v>1294.0740000000001</v>
      </c>
      <c r="N18" s="2">
        <v>1380.1510000000001</v>
      </c>
      <c r="O18" s="2">
        <v>1389.643</v>
      </c>
    </row>
    <row r="19" spans="1:15" x14ac:dyDescent="0.35">
      <c r="A19" s="3" t="s">
        <v>54</v>
      </c>
      <c r="B19" s="2">
        <v>827.01700000000005</v>
      </c>
      <c r="C19" s="2">
        <v>927.44799999999998</v>
      </c>
      <c r="D19" s="2">
        <v>919.005</v>
      </c>
      <c r="E19" s="2">
        <v>1026.5440000000001</v>
      </c>
      <c r="F19" s="2">
        <v>903.49599999999998</v>
      </c>
      <c r="G19" s="2">
        <v>970.05499999999995</v>
      </c>
      <c r="H19" s="2">
        <v>865.43500000000006</v>
      </c>
      <c r="I19" s="2">
        <v>854.90599999999995</v>
      </c>
      <c r="J19" s="2">
        <v>998.79600000000005</v>
      </c>
      <c r="K19" s="2">
        <v>950.24800000000005</v>
      </c>
      <c r="L19" s="2">
        <v>1025.232</v>
      </c>
      <c r="M19" s="2">
        <v>945.28</v>
      </c>
      <c r="N19" s="2">
        <v>1093.846</v>
      </c>
      <c r="O19" s="2">
        <v>1010.022</v>
      </c>
    </row>
    <row r="20" spans="1:15" x14ac:dyDescent="0.35">
      <c r="A20" s="3" t="s">
        <v>52</v>
      </c>
      <c r="B20" s="2">
        <v>2014.355</v>
      </c>
      <c r="C20" s="2">
        <v>2000.9670000000001</v>
      </c>
      <c r="D20" s="2">
        <v>1925.2829999999999</v>
      </c>
      <c r="E20" s="2">
        <v>2099.4929999999999</v>
      </c>
      <c r="F20" s="2">
        <v>2090.3539999999998</v>
      </c>
      <c r="G20" s="2">
        <v>2133.1950000000002</v>
      </c>
      <c r="H20" s="2">
        <v>2193.2159999999999</v>
      </c>
      <c r="I20" s="2">
        <v>2163.5100000000002</v>
      </c>
      <c r="J20" s="2">
        <v>2071.7040000000002</v>
      </c>
      <c r="K20" s="2">
        <v>2011.2719999999999</v>
      </c>
      <c r="L20" s="2">
        <v>2055.2460000000001</v>
      </c>
      <c r="M20" s="2">
        <v>2079.0709999999999</v>
      </c>
      <c r="N20" s="2">
        <v>1991.2570000000001</v>
      </c>
      <c r="O20" s="2">
        <v>2132.42</v>
      </c>
    </row>
    <row r="21" spans="1:15" x14ac:dyDescent="0.35">
      <c r="A21" s="3" t="s">
        <v>56</v>
      </c>
      <c r="B21" s="2">
        <v>1300.7239999999999</v>
      </c>
      <c r="C21" s="2">
        <v>1368.1690000000001</v>
      </c>
      <c r="D21" s="2">
        <v>1382.65</v>
      </c>
      <c r="E21" s="2">
        <v>1473.875</v>
      </c>
      <c r="F21" s="2">
        <v>1304.932</v>
      </c>
      <c r="G21" s="2">
        <v>1429.924</v>
      </c>
      <c r="H21" s="2">
        <v>1290.979</v>
      </c>
      <c r="I21" s="2">
        <v>1266.7380000000001</v>
      </c>
      <c r="J21" s="2">
        <v>1407.3320000000001</v>
      </c>
      <c r="K21" s="2">
        <v>1365.153</v>
      </c>
      <c r="L21" s="2">
        <v>1426.999</v>
      </c>
      <c r="M21" s="2">
        <v>1406.5219999999999</v>
      </c>
      <c r="N21" s="2">
        <v>1474.307</v>
      </c>
      <c r="O21" s="2">
        <v>1474.1179999999999</v>
      </c>
    </row>
    <row r="22" spans="1:15" x14ac:dyDescent="0.35">
      <c r="A22" s="3" t="s">
        <v>57</v>
      </c>
      <c r="B22" s="2">
        <v>877.88099999999997</v>
      </c>
      <c r="C22" s="2">
        <v>958.50699999999995</v>
      </c>
      <c r="D22" s="2">
        <v>968.04200000000003</v>
      </c>
      <c r="E22" s="2">
        <v>1065.172</v>
      </c>
      <c r="F22" s="2">
        <v>982.71100000000001</v>
      </c>
      <c r="G22" s="2">
        <v>1060.932</v>
      </c>
      <c r="H22" s="2">
        <v>992.78399999999999</v>
      </c>
      <c r="I22" s="2">
        <v>952.54300000000001</v>
      </c>
      <c r="J22" s="2">
        <v>1040.2329999999999</v>
      </c>
      <c r="K22" s="2">
        <v>984.88699999999994</v>
      </c>
      <c r="L22" s="2">
        <v>1048.586</v>
      </c>
      <c r="M22" s="2">
        <v>1005.231</v>
      </c>
      <c r="N22" s="2">
        <v>1077.568</v>
      </c>
      <c r="O22" s="2">
        <v>1114.6859999999999</v>
      </c>
    </row>
    <row r="23" spans="1:15" x14ac:dyDescent="0.35">
      <c r="A23" s="3" t="s">
        <v>58</v>
      </c>
      <c r="B23" s="2">
        <v>2115.9450000000002</v>
      </c>
      <c r="C23" s="2">
        <v>2198.6320000000001</v>
      </c>
      <c r="D23" s="2">
        <v>2148.8710000000001</v>
      </c>
      <c r="E23" s="2">
        <v>2162.5909999999999</v>
      </c>
      <c r="F23" s="2">
        <v>2209.9160000000002</v>
      </c>
      <c r="G23" s="2">
        <v>2306.94</v>
      </c>
      <c r="H23" s="2">
        <v>2245.9810000000002</v>
      </c>
      <c r="I23" s="2">
        <v>2160.9319999999998</v>
      </c>
      <c r="J23" s="2">
        <v>2251.8200000000002</v>
      </c>
      <c r="K23" s="2">
        <v>2076.567</v>
      </c>
      <c r="L23" s="2">
        <v>2188.4960000000001</v>
      </c>
      <c r="M23" s="2">
        <v>2159.2060000000001</v>
      </c>
      <c r="N23" s="2">
        <v>2245.2719999999999</v>
      </c>
      <c r="O23" s="2">
        <v>2341.0970000000002</v>
      </c>
    </row>
    <row r="24" spans="1:15" x14ac:dyDescent="0.35">
      <c r="A24" s="3" t="s">
        <v>59</v>
      </c>
      <c r="B24" s="2">
        <v>2173.8829999999998</v>
      </c>
      <c r="C24" s="2">
        <v>2198.2060000000001</v>
      </c>
      <c r="D24" s="2">
        <v>2164.4960000000001</v>
      </c>
      <c r="E24" s="2">
        <v>2131.5360000000001</v>
      </c>
      <c r="F24" s="2">
        <v>2105.2689999999998</v>
      </c>
      <c r="G24" s="2">
        <v>2326.1089999999999</v>
      </c>
      <c r="H24" s="2">
        <v>2242.2730000000001</v>
      </c>
      <c r="I24" s="2">
        <v>2145.14</v>
      </c>
      <c r="J24" s="2">
        <v>2109.7420000000002</v>
      </c>
      <c r="K24" s="2">
        <v>2027.271</v>
      </c>
      <c r="L24" s="2">
        <v>2137.7570000000001</v>
      </c>
      <c r="M24" s="2">
        <v>2174.7840000000001</v>
      </c>
      <c r="N24" s="2">
        <v>1874.1890000000001</v>
      </c>
      <c r="O24" s="2">
        <v>2277.3969999999999</v>
      </c>
    </row>
    <row r="25" spans="1:15" x14ac:dyDescent="0.35">
      <c r="A25" s="3" t="s">
        <v>73</v>
      </c>
      <c r="B25" s="2">
        <v>2791.395</v>
      </c>
      <c r="C25" s="2">
        <v>2839.78</v>
      </c>
      <c r="D25" s="2">
        <v>2850.7649999999999</v>
      </c>
      <c r="E25" s="2">
        <v>2850.0250000000001</v>
      </c>
      <c r="F25" s="2">
        <v>2868.0929999999998</v>
      </c>
      <c r="G25" s="2">
        <v>2931.683</v>
      </c>
      <c r="H25" s="2">
        <v>2904.2510000000002</v>
      </c>
      <c r="I25" s="2">
        <v>2833.8319999999999</v>
      </c>
      <c r="J25" s="2">
        <v>2970.806</v>
      </c>
      <c r="K25" s="2">
        <v>2935.9870000000001</v>
      </c>
      <c r="L25" s="2">
        <v>2811.681</v>
      </c>
      <c r="M25" s="2">
        <v>2782.6849999999999</v>
      </c>
      <c r="N25" s="2">
        <v>2937.2640000000001</v>
      </c>
      <c r="O25" s="2">
        <v>3056.681</v>
      </c>
    </row>
    <row r="26" spans="1:15" x14ac:dyDescent="0.35">
      <c r="A26" s="3" t="s">
        <v>60</v>
      </c>
      <c r="B26" s="2">
        <v>2239.652</v>
      </c>
      <c r="C26" s="2">
        <v>2164.5940000000001</v>
      </c>
      <c r="D26" s="2">
        <v>2161.877</v>
      </c>
      <c r="E26" s="2">
        <v>2263.6959999999999</v>
      </c>
      <c r="F26" s="2">
        <v>2257.192</v>
      </c>
      <c r="G26" s="2">
        <v>2336.1379999999999</v>
      </c>
      <c r="H26" s="2">
        <v>2344.587</v>
      </c>
      <c r="I26" s="2">
        <v>2314.163</v>
      </c>
      <c r="J26" s="2">
        <v>2260.4870000000001</v>
      </c>
      <c r="K26" s="2">
        <v>2295.451</v>
      </c>
      <c r="L26" s="2">
        <v>2316.509</v>
      </c>
      <c r="M26" s="2">
        <v>2323.5410000000002</v>
      </c>
      <c r="N26" s="2">
        <v>2174.9290000000001</v>
      </c>
      <c r="O26" s="2">
        <v>2376.453</v>
      </c>
    </row>
    <row r="27" spans="1:15" x14ac:dyDescent="0.35">
      <c r="A27" s="3" t="s">
        <v>61</v>
      </c>
      <c r="B27" s="2">
        <v>192.28700000000001</v>
      </c>
      <c r="C27" s="2">
        <v>243.86</v>
      </c>
      <c r="D27" s="2">
        <v>223.49100000000001</v>
      </c>
      <c r="E27" s="2">
        <v>247.68899999999999</v>
      </c>
      <c r="F27" s="2">
        <v>220.58</v>
      </c>
      <c r="G27" s="2">
        <v>239.154</v>
      </c>
      <c r="H27" s="2">
        <v>222.03299999999999</v>
      </c>
      <c r="I27" s="2">
        <v>198.29900000000001</v>
      </c>
      <c r="J27" s="2">
        <v>219.35400000000001</v>
      </c>
      <c r="K27" s="2">
        <v>191.12799999999999</v>
      </c>
      <c r="L27" s="2">
        <v>203.86099999999999</v>
      </c>
      <c r="M27" s="2">
        <v>208.62200000000001</v>
      </c>
      <c r="N27" s="2">
        <v>226.155</v>
      </c>
      <c r="O27" s="2">
        <v>253.06200000000001</v>
      </c>
    </row>
    <row r="28" spans="1:15" x14ac:dyDescent="0.35">
      <c r="A28" s="3" t="s">
        <v>63</v>
      </c>
      <c r="B28" s="2">
        <v>2330.279</v>
      </c>
      <c r="C28" s="2">
        <v>2390.0990000000002</v>
      </c>
      <c r="D28" s="2">
        <v>2195.3000000000002</v>
      </c>
      <c r="E28" s="2">
        <v>2355.4969999999998</v>
      </c>
      <c r="F28" s="2">
        <v>2566.2350000000001</v>
      </c>
      <c r="G28" s="2">
        <v>2369.5659999999998</v>
      </c>
      <c r="H28" s="2">
        <v>2355.607</v>
      </c>
      <c r="I28" s="2">
        <v>2450.9650000000001</v>
      </c>
      <c r="J28" s="2">
        <v>2477.924</v>
      </c>
      <c r="K28" s="2">
        <v>2281.6640000000002</v>
      </c>
      <c r="L28" s="2">
        <v>2205.7440000000001</v>
      </c>
      <c r="M28" s="2">
        <v>2234.1350000000002</v>
      </c>
      <c r="N28" s="2">
        <v>2365.806</v>
      </c>
      <c r="O28" s="2">
        <v>2490.0010000000002</v>
      </c>
    </row>
    <row r="29" spans="1:15" x14ac:dyDescent="0.35">
      <c r="A29" s="3" t="s">
        <v>62</v>
      </c>
      <c r="B29" s="2">
        <v>2364.9879999999998</v>
      </c>
      <c r="C29" s="2">
        <v>2527.9859999999999</v>
      </c>
      <c r="D29" s="2">
        <v>2517.4650000000001</v>
      </c>
      <c r="E29" s="2">
        <v>2500.4639999999999</v>
      </c>
      <c r="F29" s="2">
        <v>2469.7550000000001</v>
      </c>
      <c r="G29" s="2">
        <v>2665.261</v>
      </c>
      <c r="H29" s="2">
        <v>2529.7930000000001</v>
      </c>
      <c r="I29" s="2">
        <v>2489.5790000000002</v>
      </c>
      <c r="J29" s="2">
        <v>2671.23</v>
      </c>
      <c r="K29" s="2">
        <v>2537.7629999999999</v>
      </c>
      <c r="L29" s="2">
        <v>2314.951</v>
      </c>
      <c r="M29" s="2">
        <v>2347.1280000000002</v>
      </c>
      <c r="N29" s="2">
        <v>2566.8319999999999</v>
      </c>
      <c r="O29" s="2">
        <v>2663.3719999999998</v>
      </c>
    </row>
    <row r="30" spans="1:15" x14ac:dyDescent="0.35">
      <c r="A30" s="3" t="s">
        <v>64</v>
      </c>
      <c r="B30" s="2">
        <v>1942.2940000000001</v>
      </c>
      <c r="C30" s="2">
        <v>1960.9549999999999</v>
      </c>
      <c r="D30" s="2">
        <v>2016.306</v>
      </c>
      <c r="E30" s="2">
        <v>2102.71</v>
      </c>
      <c r="F30" s="2">
        <v>1961.45</v>
      </c>
      <c r="G30" s="2">
        <v>2123.1610000000001</v>
      </c>
      <c r="H30" s="2">
        <v>1923.85</v>
      </c>
      <c r="I30" s="2">
        <v>1890.8979999999999</v>
      </c>
      <c r="J30" s="2">
        <v>2027.904</v>
      </c>
      <c r="K30" s="2">
        <v>1978.3589999999999</v>
      </c>
      <c r="L30" s="2">
        <v>2041.502</v>
      </c>
      <c r="M30" s="2">
        <v>1998.1990000000001</v>
      </c>
      <c r="N30" s="2">
        <v>2106.4270000000001</v>
      </c>
      <c r="O30" s="2">
        <v>2077.0340000000001</v>
      </c>
    </row>
    <row r="31" spans="1:15" x14ac:dyDescent="0.35">
      <c r="A31" s="3" t="s">
        <v>66</v>
      </c>
      <c r="B31" s="2">
        <v>2167.0189999999998</v>
      </c>
      <c r="C31" s="2">
        <v>2194.0970000000002</v>
      </c>
      <c r="D31" s="2">
        <v>2119.4319999999998</v>
      </c>
      <c r="E31" s="2">
        <v>2322.8829999999998</v>
      </c>
      <c r="F31" s="2">
        <v>2354.64</v>
      </c>
      <c r="G31" s="2">
        <v>2379.4079999999999</v>
      </c>
      <c r="H31" s="2">
        <v>2393.069</v>
      </c>
      <c r="I31" s="2">
        <v>2328.7370000000001</v>
      </c>
      <c r="J31" s="2">
        <v>2281.9960000000001</v>
      </c>
      <c r="K31" s="2">
        <v>2159.7890000000002</v>
      </c>
      <c r="L31" s="2">
        <v>2166.0700000000002</v>
      </c>
      <c r="M31" s="2">
        <v>2329.63</v>
      </c>
      <c r="N31" s="2">
        <v>2216.8960000000002</v>
      </c>
      <c r="O31" s="2">
        <v>2330.96</v>
      </c>
    </row>
    <row r="32" spans="1:15" x14ac:dyDescent="0.35">
      <c r="A32" s="3" t="s">
        <v>65</v>
      </c>
      <c r="B32" s="2">
        <v>1042.5640000000001</v>
      </c>
      <c r="C32" s="2">
        <v>1181.0219999999999</v>
      </c>
      <c r="D32" s="2">
        <v>1073.4449999999999</v>
      </c>
      <c r="E32" s="2">
        <v>1200.8130000000001</v>
      </c>
      <c r="F32" s="2">
        <v>1156.2650000000001</v>
      </c>
      <c r="G32" s="2">
        <v>1271.8150000000001</v>
      </c>
      <c r="H32" s="2">
        <v>1237.569</v>
      </c>
      <c r="I32" s="2">
        <v>1170.223</v>
      </c>
      <c r="J32" s="2">
        <v>1214.3820000000001</v>
      </c>
      <c r="K32" s="2">
        <v>1082.3150000000001</v>
      </c>
      <c r="L32" s="2">
        <v>1106.491</v>
      </c>
      <c r="M32" s="2">
        <v>1255.539</v>
      </c>
      <c r="N32" s="2">
        <v>1044.3209999999999</v>
      </c>
      <c r="O32" s="2">
        <v>1273.393</v>
      </c>
    </row>
    <row r="33" spans="1:15" x14ac:dyDescent="0.35">
      <c r="A33" s="3" t="s">
        <v>67</v>
      </c>
      <c r="B33" s="2">
        <v>2129.5949999999998</v>
      </c>
      <c r="C33" s="2">
        <v>2141.835</v>
      </c>
      <c r="D33" s="2">
        <v>2109.3009999999999</v>
      </c>
      <c r="E33" s="2">
        <v>2199.0390000000002</v>
      </c>
      <c r="F33" s="2">
        <v>2249.2240000000002</v>
      </c>
      <c r="G33" s="2">
        <v>2342.6550000000002</v>
      </c>
      <c r="H33" s="2">
        <v>2207.1880000000001</v>
      </c>
      <c r="I33" s="2">
        <v>2129.1550000000002</v>
      </c>
      <c r="J33" s="2">
        <v>2247.125</v>
      </c>
      <c r="K33" s="2">
        <v>2064.4169999999999</v>
      </c>
      <c r="L33" s="2">
        <v>2180.8139999999999</v>
      </c>
      <c r="M33" s="2">
        <v>2123.7559999999999</v>
      </c>
      <c r="N33" s="2">
        <v>2335.1329999999998</v>
      </c>
      <c r="O33" s="2">
        <v>2308.1529999999998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7388B-03AF-4365-BEA2-9F9CDC3825C4}">
  <dimension ref="A1:O33"/>
  <sheetViews>
    <sheetView workbookViewId="0">
      <selection activeCell="E31" sqref="E31"/>
    </sheetView>
  </sheetViews>
  <sheetFormatPr baseColWidth="10" defaultRowHeight="14.5" x14ac:dyDescent="0.35"/>
  <sheetData>
    <row r="1" spans="1:15" x14ac:dyDescent="0.35">
      <c r="A1" s="14" t="s">
        <v>75</v>
      </c>
      <c r="B1" s="4">
        <v>2011</v>
      </c>
      <c r="C1" s="4">
        <v>2012</v>
      </c>
      <c r="D1" s="4">
        <v>2013</v>
      </c>
      <c r="E1" s="4">
        <v>2014</v>
      </c>
      <c r="F1" s="4">
        <v>2015</v>
      </c>
      <c r="G1" s="4">
        <v>2016</v>
      </c>
      <c r="H1" s="4">
        <v>2017</v>
      </c>
      <c r="I1" s="4">
        <v>2018</v>
      </c>
      <c r="J1" s="4">
        <v>2019</v>
      </c>
      <c r="K1" s="4">
        <v>2020</v>
      </c>
      <c r="L1" s="4">
        <v>2021</v>
      </c>
      <c r="M1" s="4">
        <v>2022</v>
      </c>
      <c r="N1" s="4">
        <v>2023</v>
      </c>
      <c r="O1" s="4">
        <v>2024</v>
      </c>
    </row>
    <row r="2" spans="1:15" x14ac:dyDescent="0.35">
      <c r="A2" s="3" t="s">
        <v>39</v>
      </c>
      <c r="B2" s="2">
        <v>652.64</v>
      </c>
      <c r="C2" s="2">
        <v>729.66800000000001</v>
      </c>
      <c r="D2" s="2">
        <v>614.37199999999996</v>
      </c>
      <c r="E2" s="2">
        <v>742.10900000000004</v>
      </c>
      <c r="F2" s="2">
        <v>661.11899999999991</v>
      </c>
      <c r="G2" s="2">
        <v>701.07400000000007</v>
      </c>
      <c r="H2" s="2">
        <v>716.72400000000005</v>
      </c>
      <c r="I2" s="2">
        <v>725.10799999999995</v>
      </c>
      <c r="J2" s="2">
        <v>819.70899999999995</v>
      </c>
      <c r="K2" s="2">
        <v>643.375</v>
      </c>
      <c r="L2" s="2">
        <v>611.82600000000002</v>
      </c>
      <c r="M2" s="2">
        <v>590.75700000000006</v>
      </c>
      <c r="N2" s="2">
        <v>768.26400000000001</v>
      </c>
      <c r="O2" s="2">
        <v>783.67000000000007</v>
      </c>
    </row>
    <row r="3" spans="1:15" x14ac:dyDescent="0.35">
      <c r="A3" s="3" t="s">
        <v>40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9.6000000000000085E-2</v>
      </c>
      <c r="L3" s="2">
        <v>0</v>
      </c>
      <c r="M3" s="2">
        <v>0</v>
      </c>
      <c r="N3" s="2">
        <v>0</v>
      </c>
      <c r="O3" s="2">
        <v>0</v>
      </c>
    </row>
    <row r="4" spans="1:15" x14ac:dyDescent="0.35">
      <c r="A4" s="3" t="s">
        <v>41</v>
      </c>
      <c r="B4" s="2">
        <v>246.22</v>
      </c>
      <c r="C4" s="2">
        <v>284.65499999999997</v>
      </c>
      <c r="D4" s="2">
        <v>285.08999999999997</v>
      </c>
      <c r="E4" s="2">
        <v>379.99900000000002</v>
      </c>
      <c r="F4" s="2">
        <v>267.05599999999998</v>
      </c>
      <c r="G4" s="2">
        <v>309.54700000000003</v>
      </c>
      <c r="H4" s="2">
        <v>291.762</v>
      </c>
      <c r="I4" s="2">
        <v>290.22899999999998</v>
      </c>
      <c r="J4" s="2">
        <v>320.125</v>
      </c>
      <c r="K4" s="2">
        <v>261.21899999999999</v>
      </c>
      <c r="L4" s="2">
        <v>314.23500000000001</v>
      </c>
      <c r="M4" s="2">
        <v>263.21800000000002</v>
      </c>
      <c r="N4" s="2">
        <v>390.41800000000001</v>
      </c>
      <c r="O4" s="2">
        <v>421.77800000000002</v>
      </c>
    </row>
    <row r="5" spans="1:15" x14ac:dyDescent="0.35">
      <c r="A5" s="3" t="s">
        <v>42</v>
      </c>
      <c r="B5" s="2">
        <v>791.85800000000006</v>
      </c>
      <c r="C5" s="2">
        <v>1030.0150000000001</v>
      </c>
      <c r="D5" s="2">
        <v>834.37599999999998</v>
      </c>
      <c r="E5" s="2">
        <v>1000.5650000000001</v>
      </c>
      <c r="F5" s="2">
        <v>957.99200000000008</v>
      </c>
      <c r="G5" s="2">
        <v>1093.854</v>
      </c>
      <c r="H5" s="2">
        <v>1011.188</v>
      </c>
      <c r="I5" s="2">
        <v>987.70299999999997</v>
      </c>
      <c r="J5" s="2">
        <v>1073.2639999999999</v>
      </c>
      <c r="K5" s="2">
        <v>689.77800000000002</v>
      </c>
      <c r="L5" s="2">
        <v>738.53899999999999</v>
      </c>
      <c r="M5" s="2">
        <v>973.51400000000001</v>
      </c>
      <c r="N5" s="2">
        <v>973.32399999999996</v>
      </c>
      <c r="O5" s="2">
        <v>1036.316</v>
      </c>
    </row>
    <row r="6" spans="1:15" x14ac:dyDescent="0.35">
      <c r="A6" s="3" t="s">
        <v>69</v>
      </c>
      <c r="B6" s="2">
        <v>503.47699999999998</v>
      </c>
      <c r="C6" s="2">
        <v>735.66599999999994</v>
      </c>
      <c r="D6" s="2">
        <v>534.25699999999995</v>
      </c>
      <c r="E6" s="2">
        <v>766.41700000000003</v>
      </c>
      <c r="F6" s="2">
        <v>547.5</v>
      </c>
      <c r="G6" s="2">
        <v>692.31399999999996</v>
      </c>
      <c r="H6" s="2">
        <v>606.64699999999993</v>
      </c>
      <c r="I6" s="2">
        <v>532.62599999999998</v>
      </c>
      <c r="J6" s="2">
        <v>630.87</v>
      </c>
      <c r="K6" s="2">
        <v>443.33100000000002</v>
      </c>
      <c r="L6" s="2">
        <v>473.89</v>
      </c>
      <c r="M6" s="2">
        <v>621.46399999999994</v>
      </c>
      <c r="N6" s="2">
        <v>302.14699999999999</v>
      </c>
      <c r="O6" s="2">
        <v>698.471</v>
      </c>
    </row>
    <row r="7" spans="1:15" x14ac:dyDescent="0.35">
      <c r="A7" s="3" t="s">
        <v>43</v>
      </c>
      <c r="B7" s="2">
        <v>586.70699999999999</v>
      </c>
      <c r="C7" s="2">
        <v>717.46300000000008</v>
      </c>
      <c r="D7" s="2">
        <v>623.84199999999998</v>
      </c>
      <c r="E7" s="2">
        <v>720.11599999999999</v>
      </c>
      <c r="F7" s="2">
        <v>623.88200000000006</v>
      </c>
      <c r="G7" s="2">
        <v>815.21699999999998</v>
      </c>
      <c r="H7" s="2">
        <v>788.82900000000006</v>
      </c>
      <c r="I7" s="2">
        <v>686.11699999999996</v>
      </c>
      <c r="J7" s="2">
        <v>827.80899999999997</v>
      </c>
      <c r="K7" s="2">
        <v>462.89900000000011</v>
      </c>
      <c r="L7" s="2">
        <v>531.65499999999997</v>
      </c>
      <c r="M7" s="2">
        <v>760.47699999999998</v>
      </c>
      <c r="N7" s="2">
        <v>611.37800000000004</v>
      </c>
      <c r="O7" s="2">
        <v>713.14099999999996</v>
      </c>
    </row>
    <row r="8" spans="1:15" x14ac:dyDescent="0.35">
      <c r="A8" s="3" t="s">
        <v>44</v>
      </c>
      <c r="B8" s="2">
        <v>964.86099999999999</v>
      </c>
      <c r="C8" s="2">
        <v>1175.624</v>
      </c>
      <c r="D8" s="2">
        <v>930.56600000000003</v>
      </c>
      <c r="E8" s="2">
        <v>1213.3610000000001</v>
      </c>
      <c r="F8" s="2">
        <v>1055.3630000000001</v>
      </c>
      <c r="G8" s="2">
        <v>1171.9839999999999</v>
      </c>
      <c r="H8" s="2">
        <v>1193.25</v>
      </c>
      <c r="I8" s="2">
        <v>1056.0640000000001</v>
      </c>
      <c r="J8" s="2">
        <v>1224.489</v>
      </c>
      <c r="K8" s="2">
        <v>1069.8530000000001</v>
      </c>
      <c r="L8" s="2">
        <v>874.548</v>
      </c>
      <c r="M8" s="2">
        <v>1254.702</v>
      </c>
      <c r="N8" s="2">
        <v>798.26099999999997</v>
      </c>
      <c r="O8" s="2">
        <v>1158.424</v>
      </c>
    </row>
    <row r="9" spans="1:15" x14ac:dyDescent="0.35">
      <c r="A9" s="3" t="s">
        <v>45</v>
      </c>
      <c r="B9" s="2">
        <v>361.298</v>
      </c>
      <c r="C9" s="2">
        <v>362.291</v>
      </c>
      <c r="D9" s="2">
        <v>379.13299999999998</v>
      </c>
      <c r="E9" s="2">
        <v>465.23399999999998</v>
      </c>
      <c r="F9" s="2">
        <v>494.81700000000001</v>
      </c>
      <c r="G9" s="2">
        <v>421.024</v>
      </c>
      <c r="H9" s="2">
        <v>444.46300000000002</v>
      </c>
      <c r="I9" s="2">
        <v>459.35</v>
      </c>
      <c r="J9" s="2">
        <v>457.73500000000001</v>
      </c>
      <c r="K9" s="2">
        <v>472.30200000000002</v>
      </c>
      <c r="L9" s="2">
        <v>479.38200000000001</v>
      </c>
      <c r="M9" s="2">
        <v>390.23700000000002</v>
      </c>
      <c r="N9" s="2">
        <v>587.71600000000001</v>
      </c>
      <c r="O9" s="2">
        <v>603.125</v>
      </c>
    </row>
    <row r="10" spans="1:15" x14ac:dyDescent="0.35">
      <c r="A10" s="3" t="s">
        <v>46</v>
      </c>
      <c r="B10" s="2">
        <v>800.26800000000003</v>
      </c>
      <c r="C10" s="2">
        <v>847.56500000000005</v>
      </c>
      <c r="D10" s="2">
        <v>685.95299999999997</v>
      </c>
      <c r="E10" s="2">
        <v>907.37800000000004</v>
      </c>
      <c r="F10" s="2">
        <v>930.20799999999997</v>
      </c>
      <c r="G10" s="2">
        <v>878.79</v>
      </c>
      <c r="H10" s="2">
        <v>810.38400000000001</v>
      </c>
      <c r="I10" s="2">
        <v>970.33699999999999</v>
      </c>
      <c r="J10" s="2">
        <v>836.37</v>
      </c>
      <c r="K10" s="2">
        <v>847.96399999999994</v>
      </c>
      <c r="L10" s="2">
        <v>862.90700000000004</v>
      </c>
      <c r="M10" s="2">
        <v>838.47400000000005</v>
      </c>
      <c r="N10" s="2">
        <v>725.66200000000003</v>
      </c>
      <c r="O10" s="2">
        <v>937.24300000000005</v>
      </c>
    </row>
    <row r="11" spans="1:15" x14ac:dyDescent="0.35">
      <c r="A11" s="3" t="s">
        <v>48</v>
      </c>
      <c r="B11" s="2">
        <v>4.4899999999999984</v>
      </c>
      <c r="C11" s="2">
        <v>44.685999999999993</v>
      </c>
      <c r="D11" s="2">
        <v>37.012999999999998</v>
      </c>
      <c r="E11" s="2">
        <v>39.669000000000011</v>
      </c>
      <c r="F11" s="2">
        <v>2.4200000000000021</v>
      </c>
      <c r="G11" s="2">
        <v>10.241</v>
      </c>
      <c r="H11" s="2">
        <v>7.8349999999999973</v>
      </c>
      <c r="I11" s="2">
        <v>7.5359999999999943</v>
      </c>
      <c r="J11" s="2">
        <v>17.391999999999999</v>
      </c>
      <c r="K11" s="2">
        <v>0.61899999999999977</v>
      </c>
      <c r="L11" s="2">
        <v>7.6729999999999983</v>
      </c>
      <c r="M11" s="2">
        <v>19.548999999999999</v>
      </c>
      <c r="N11" s="2">
        <v>0</v>
      </c>
      <c r="O11" s="2">
        <v>31.902999999999999</v>
      </c>
    </row>
    <row r="12" spans="1:15" x14ac:dyDescent="0.35">
      <c r="A12" s="3" t="s">
        <v>47</v>
      </c>
      <c r="B12" s="2">
        <v>951.94100000000003</v>
      </c>
      <c r="C12" s="2">
        <v>1149.866</v>
      </c>
      <c r="D12" s="2">
        <v>957.59399999999994</v>
      </c>
      <c r="E12" s="2">
        <v>1184.376</v>
      </c>
      <c r="F12" s="2">
        <v>1004.915</v>
      </c>
      <c r="G12" s="2">
        <v>1162.8689999999999</v>
      </c>
      <c r="H12" s="2">
        <v>1158.6320000000001</v>
      </c>
      <c r="I12" s="2">
        <v>1014.023</v>
      </c>
      <c r="J12" s="2">
        <v>1143.7860000000001</v>
      </c>
      <c r="K12" s="2">
        <v>997.94200000000001</v>
      </c>
      <c r="L12" s="2">
        <v>869.68499999999995</v>
      </c>
      <c r="M12" s="2">
        <v>1138.6079999999999</v>
      </c>
      <c r="N12" s="2">
        <v>769.25</v>
      </c>
      <c r="O12" s="2">
        <v>1141.2180000000001</v>
      </c>
    </row>
    <row r="13" spans="1:15" x14ac:dyDescent="0.35">
      <c r="A13" s="3" t="s">
        <v>49</v>
      </c>
      <c r="B13" s="2">
        <v>554.97699999999998</v>
      </c>
      <c r="C13" s="2">
        <v>750.33900000000006</v>
      </c>
      <c r="D13" s="2">
        <v>562.22500000000002</v>
      </c>
      <c r="E13" s="2">
        <v>702.54200000000003</v>
      </c>
      <c r="F13" s="2">
        <v>607.524</v>
      </c>
      <c r="G13" s="2">
        <v>779.49</v>
      </c>
      <c r="H13" s="2">
        <v>709.95799999999997</v>
      </c>
      <c r="I13" s="2">
        <v>621.06200000000001</v>
      </c>
      <c r="J13" s="2">
        <v>776.95899999999995</v>
      </c>
      <c r="K13" s="2">
        <v>443.709</v>
      </c>
      <c r="L13" s="2">
        <v>502.21899999999999</v>
      </c>
      <c r="M13" s="2">
        <v>715.678</v>
      </c>
      <c r="N13" s="2">
        <v>733.22</v>
      </c>
      <c r="O13" s="2">
        <v>793.82999999999993</v>
      </c>
    </row>
    <row r="14" spans="1:15" x14ac:dyDescent="0.35">
      <c r="A14" s="3" t="s">
        <v>71</v>
      </c>
      <c r="B14" s="2">
        <v>0</v>
      </c>
      <c r="C14" s="2">
        <v>0.33200000000000068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</row>
    <row r="15" spans="1:15" x14ac:dyDescent="0.35">
      <c r="A15" s="3" t="s">
        <v>50</v>
      </c>
      <c r="B15" s="2">
        <v>219.399</v>
      </c>
      <c r="C15" s="2">
        <v>287.88900000000001</v>
      </c>
      <c r="D15" s="2">
        <v>278.22800000000001</v>
      </c>
      <c r="E15" s="2">
        <v>273.08100000000002</v>
      </c>
      <c r="F15" s="2">
        <v>202.54499999999999</v>
      </c>
      <c r="G15" s="2">
        <v>408.01</v>
      </c>
      <c r="H15" s="2">
        <v>311.637</v>
      </c>
      <c r="I15" s="2">
        <v>261.08100000000002</v>
      </c>
      <c r="J15" s="2">
        <v>429.69600000000003</v>
      </c>
      <c r="K15" s="2">
        <v>323.19900000000001</v>
      </c>
      <c r="L15" s="2">
        <v>204.84800000000001</v>
      </c>
      <c r="M15" s="2">
        <v>232.154</v>
      </c>
      <c r="N15" s="2">
        <v>267.06200000000001</v>
      </c>
      <c r="O15" s="2">
        <v>396.51799999999997</v>
      </c>
    </row>
    <row r="16" spans="1:15" x14ac:dyDescent="0.35">
      <c r="A16" s="3" t="s">
        <v>51</v>
      </c>
      <c r="B16" s="2">
        <v>150.27099999999999</v>
      </c>
      <c r="C16" s="2">
        <v>192.727</v>
      </c>
      <c r="D16" s="2">
        <v>263.08800000000002</v>
      </c>
      <c r="E16" s="2">
        <v>245.00299999999999</v>
      </c>
      <c r="F16" s="2">
        <v>200.54499999999999</v>
      </c>
      <c r="G16" s="2">
        <v>340.15300000000002</v>
      </c>
      <c r="H16" s="2">
        <v>230.73699999999999</v>
      </c>
      <c r="I16" s="2">
        <v>222.09399999999999</v>
      </c>
      <c r="J16" s="2">
        <v>381.02699999999999</v>
      </c>
      <c r="K16" s="2">
        <v>331.87799999999999</v>
      </c>
      <c r="L16" s="2">
        <v>174.167</v>
      </c>
      <c r="M16" s="2">
        <v>168.53700000000001</v>
      </c>
      <c r="N16" s="2">
        <v>294.37299999999999</v>
      </c>
      <c r="O16" s="2">
        <v>381.637</v>
      </c>
    </row>
    <row r="17" spans="1:15" x14ac:dyDescent="0.35">
      <c r="A17" s="3" t="s">
        <v>53</v>
      </c>
      <c r="B17" s="2">
        <v>500.50200000000001</v>
      </c>
      <c r="C17" s="2">
        <v>534.81899999999996</v>
      </c>
      <c r="D17" s="2">
        <v>482.851</v>
      </c>
      <c r="E17" s="2">
        <v>624.024</v>
      </c>
      <c r="F17" s="2">
        <v>506.40199999999999</v>
      </c>
      <c r="G17" s="2">
        <v>641.94100000000003</v>
      </c>
      <c r="H17" s="2">
        <v>569.08299999999997</v>
      </c>
      <c r="I17" s="2">
        <v>593.46899999999994</v>
      </c>
      <c r="J17" s="2">
        <v>648.51</v>
      </c>
      <c r="K17" s="2">
        <v>519.14300000000003</v>
      </c>
      <c r="L17" s="2">
        <v>482.505</v>
      </c>
      <c r="M17" s="2">
        <v>599.54899999999998</v>
      </c>
      <c r="N17" s="2">
        <v>494.21800000000002</v>
      </c>
      <c r="O17" s="2">
        <v>617.31100000000004</v>
      </c>
    </row>
    <row r="18" spans="1:15" x14ac:dyDescent="0.35">
      <c r="A18" s="3" t="s">
        <v>55</v>
      </c>
      <c r="B18" s="2">
        <v>29.434999999999992</v>
      </c>
      <c r="C18" s="2">
        <v>40.109999999999992</v>
      </c>
      <c r="D18" s="2">
        <v>37.290999999999997</v>
      </c>
      <c r="E18" s="2">
        <v>89.742000000000019</v>
      </c>
      <c r="F18" s="2">
        <v>24.527000000000001</v>
      </c>
      <c r="G18" s="2">
        <v>31.04600000000001</v>
      </c>
      <c r="H18" s="2">
        <v>28.431000000000001</v>
      </c>
      <c r="I18" s="2">
        <v>38.307000000000002</v>
      </c>
      <c r="J18" s="2">
        <v>62.35799999999999</v>
      </c>
      <c r="K18" s="2">
        <v>27.201000000000011</v>
      </c>
      <c r="L18" s="2">
        <v>32.738000000000007</v>
      </c>
      <c r="M18" s="2">
        <v>27.55200000000001</v>
      </c>
      <c r="N18" s="2">
        <v>75.085000000000008</v>
      </c>
      <c r="O18" s="2">
        <v>93.022999999999996</v>
      </c>
    </row>
    <row r="19" spans="1:15" x14ac:dyDescent="0.35">
      <c r="A19" s="3" t="s">
        <v>54</v>
      </c>
      <c r="B19" s="2">
        <v>6.0999999999999943E-2</v>
      </c>
      <c r="C19" s="2">
        <v>3.4340000000000011</v>
      </c>
      <c r="D19" s="2">
        <v>0.62199999999999989</v>
      </c>
      <c r="E19" s="2">
        <v>6.4840000000000053</v>
      </c>
      <c r="F19" s="2">
        <v>0.34700000000000131</v>
      </c>
      <c r="G19" s="2">
        <v>1.206</v>
      </c>
      <c r="H19" s="2">
        <v>9.4999999999998863E-2</v>
      </c>
      <c r="I19" s="2">
        <v>1.8610000000000011</v>
      </c>
      <c r="J19" s="2">
        <v>6.1580000000000013</v>
      </c>
      <c r="K19" s="2">
        <v>2.603000000000002</v>
      </c>
      <c r="L19" s="2">
        <v>7.1730000000000089</v>
      </c>
      <c r="M19" s="2">
        <v>2.4789999999999992</v>
      </c>
      <c r="N19" s="2">
        <v>18.672000000000001</v>
      </c>
      <c r="O19" s="2">
        <v>11.391</v>
      </c>
    </row>
    <row r="20" spans="1:15" x14ac:dyDescent="0.35">
      <c r="A20" s="3" t="s">
        <v>52</v>
      </c>
      <c r="B20" s="2">
        <v>691.673</v>
      </c>
      <c r="C20" s="2">
        <v>772.18</v>
      </c>
      <c r="D20" s="2">
        <v>626.36799999999994</v>
      </c>
      <c r="E20" s="2">
        <v>848.11599999999999</v>
      </c>
      <c r="F20" s="2">
        <v>707.822</v>
      </c>
      <c r="G20" s="2">
        <v>832.45899999999995</v>
      </c>
      <c r="H20" s="2">
        <v>849.87800000000004</v>
      </c>
      <c r="I20" s="2">
        <v>825.21400000000006</v>
      </c>
      <c r="J20" s="2">
        <v>855.10800000000006</v>
      </c>
      <c r="K20" s="2">
        <v>680.76099999999997</v>
      </c>
      <c r="L20" s="2">
        <v>674.09100000000001</v>
      </c>
      <c r="M20" s="2">
        <v>877.50099999999998</v>
      </c>
      <c r="N20" s="2">
        <v>603.60900000000004</v>
      </c>
      <c r="O20" s="2">
        <v>818.77300000000002</v>
      </c>
    </row>
    <row r="21" spans="1:15" x14ac:dyDescent="0.35">
      <c r="A21" s="3" t="s">
        <v>56</v>
      </c>
      <c r="B21" s="2">
        <v>17.76100000000001</v>
      </c>
      <c r="C21" s="2">
        <v>26.507999999999988</v>
      </c>
      <c r="D21" s="2">
        <v>29.545000000000009</v>
      </c>
      <c r="E21" s="2">
        <v>90.804000000000002</v>
      </c>
      <c r="F21" s="2">
        <v>12.02</v>
      </c>
      <c r="G21" s="2">
        <v>15.817</v>
      </c>
      <c r="H21" s="2">
        <v>13.57</v>
      </c>
      <c r="I21" s="2">
        <v>19.02</v>
      </c>
      <c r="J21" s="2">
        <v>62.381999999999991</v>
      </c>
      <c r="K21" s="2">
        <v>21.810000000000009</v>
      </c>
      <c r="L21" s="2">
        <v>51.238</v>
      </c>
      <c r="M21" s="2">
        <v>38.07500000000001</v>
      </c>
      <c r="N21" s="2">
        <v>78.001000000000019</v>
      </c>
      <c r="O21" s="2">
        <v>80.575000000000017</v>
      </c>
    </row>
    <row r="22" spans="1:15" x14ac:dyDescent="0.35">
      <c r="A22" s="3" t="s">
        <v>57</v>
      </c>
      <c r="B22" s="2">
        <v>3.1910000000000029</v>
      </c>
      <c r="C22" s="2">
        <v>10.212</v>
      </c>
      <c r="D22" s="2">
        <v>5.1590000000000016</v>
      </c>
      <c r="E22" s="2">
        <v>11.47399999999999</v>
      </c>
      <c r="F22" s="2">
        <v>2.1010000000000031</v>
      </c>
      <c r="G22" s="2">
        <v>8.1739999999999959</v>
      </c>
      <c r="H22" s="2">
        <v>10.287000000000001</v>
      </c>
      <c r="I22" s="2">
        <v>10.582000000000001</v>
      </c>
      <c r="J22" s="2">
        <v>19.475000000000001</v>
      </c>
      <c r="K22" s="2">
        <v>6.5230000000000032</v>
      </c>
      <c r="L22" s="2">
        <v>11.606000000000011</v>
      </c>
      <c r="M22" s="2">
        <v>16.63300000000001</v>
      </c>
      <c r="N22" s="2">
        <v>28.893000000000001</v>
      </c>
      <c r="O22" s="2">
        <v>43.142000000000003</v>
      </c>
    </row>
    <row r="23" spans="1:15" x14ac:dyDescent="0.35">
      <c r="A23" s="3" t="s">
        <v>58</v>
      </c>
      <c r="B23" s="2">
        <v>535.78700000000003</v>
      </c>
      <c r="C23" s="2">
        <v>658.16600000000005</v>
      </c>
      <c r="D23" s="2">
        <v>608.34299999999996</v>
      </c>
      <c r="E23" s="2">
        <v>675.82999999999993</v>
      </c>
      <c r="F23" s="2">
        <v>570.61099999999999</v>
      </c>
      <c r="G23" s="2">
        <v>732.06799999999998</v>
      </c>
      <c r="H23" s="2">
        <v>666.39300000000003</v>
      </c>
      <c r="I23" s="2">
        <v>588.44999999999993</v>
      </c>
      <c r="J23" s="2">
        <v>700.322</v>
      </c>
      <c r="K23" s="2">
        <v>512.72300000000007</v>
      </c>
      <c r="L23" s="2">
        <v>572.93499999999995</v>
      </c>
      <c r="M23" s="2">
        <v>666.70399999999995</v>
      </c>
      <c r="N23" s="2">
        <v>673.76099999999997</v>
      </c>
      <c r="O23" s="2">
        <v>739.35400000000004</v>
      </c>
    </row>
    <row r="24" spans="1:15" x14ac:dyDescent="0.35">
      <c r="A24" s="3" t="s">
        <v>59</v>
      </c>
      <c r="B24" s="2">
        <v>1021.295</v>
      </c>
      <c r="C24" s="2">
        <v>1203.5550000000001</v>
      </c>
      <c r="D24" s="2">
        <v>1062.7360000000001</v>
      </c>
      <c r="E24" s="2">
        <v>1132.7339999999999</v>
      </c>
      <c r="F24" s="2">
        <v>1001.33</v>
      </c>
      <c r="G24" s="2">
        <v>1189.884</v>
      </c>
      <c r="H24" s="2">
        <v>1127.8240000000001</v>
      </c>
      <c r="I24" s="2">
        <v>1004.6369999999999</v>
      </c>
      <c r="J24" s="2">
        <v>1049.3130000000001</v>
      </c>
      <c r="K24" s="2">
        <v>909.9190000000001</v>
      </c>
      <c r="L24" s="2">
        <v>965.77300000000002</v>
      </c>
      <c r="M24" s="2">
        <v>1033.1759999999999</v>
      </c>
      <c r="N24" s="2">
        <v>662.94299999999998</v>
      </c>
      <c r="O24" s="2">
        <v>1115.8820000000001</v>
      </c>
    </row>
    <row r="25" spans="1:15" x14ac:dyDescent="0.35">
      <c r="A25" s="3" t="s">
        <v>73</v>
      </c>
      <c r="B25" s="2">
        <v>722.79899999999998</v>
      </c>
      <c r="C25" s="2">
        <v>755.79300000000001</v>
      </c>
      <c r="D25" s="2">
        <v>760.16100000000006</v>
      </c>
      <c r="E25" s="2">
        <v>772.85299999999995</v>
      </c>
      <c r="F25" s="2">
        <v>775.05200000000002</v>
      </c>
      <c r="G25" s="2">
        <v>820.96799999999996</v>
      </c>
      <c r="H25" s="2">
        <v>815.45899999999995</v>
      </c>
      <c r="I25" s="2">
        <v>763.58299999999997</v>
      </c>
      <c r="J25" s="2">
        <v>880.21399999999994</v>
      </c>
      <c r="K25" s="2">
        <v>811.74900000000002</v>
      </c>
      <c r="L25" s="2">
        <v>701.24</v>
      </c>
      <c r="M25" s="2">
        <v>662.13800000000003</v>
      </c>
      <c r="N25" s="2">
        <v>824.79600000000005</v>
      </c>
      <c r="O25" s="2">
        <v>920.97900000000004</v>
      </c>
    </row>
    <row r="26" spans="1:15" x14ac:dyDescent="0.35">
      <c r="A26" s="3" t="s">
        <v>60</v>
      </c>
      <c r="B26" s="2">
        <v>961.98199999999997</v>
      </c>
      <c r="C26" s="2">
        <v>1017.801</v>
      </c>
      <c r="D26" s="2">
        <v>916.83799999999997</v>
      </c>
      <c r="E26" s="2">
        <v>1048.2550000000001</v>
      </c>
      <c r="F26" s="2">
        <v>1005.673</v>
      </c>
      <c r="G26" s="2">
        <v>1053.1959999999999</v>
      </c>
      <c r="H26" s="2">
        <v>1090.722</v>
      </c>
      <c r="I26" s="2">
        <v>1031.1669999999999</v>
      </c>
      <c r="J26" s="2">
        <v>1073.654</v>
      </c>
      <c r="K26" s="2">
        <v>1070.9549999999999</v>
      </c>
      <c r="L26" s="2">
        <v>1009.746</v>
      </c>
      <c r="M26" s="2">
        <v>1089.9760000000001</v>
      </c>
      <c r="N26" s="2">
        <v>764.37900000000002</v>
      </c>
      <c r="O26" s="2">
        <v>1109.818</v>
      </c>
    </row>
    <row r="27" spans="1:15" x14ac:dyDescent="0.35">
      <c r="A27" s="3" t="s">
        <v>61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</row>
    <row r="28" spans="1:15" x14ac:dyDescent="0.35">
      <c r="A28" s="3" t="s">
        <v>63</v>
      </c>
      <c r="B28" s="2">
        <v>696.29600000000005</v>
      </c>
      <c r="C28" s="2">
        <v>778.51699999999994</v>
      </c>
      <c r="D28" s="2">
        <v>630.87900000000002</v>
      </c>
      <c r="E28" s="2">
        <v>776.54399999999998</v>
      </c>
      <c r="F28" s="2">
        <v>787.09500000000003</v>
      </c>
      <c r="G28" s="2">
        <v>810.56200000000001</v>
      </c>
      <c r="H28" s="2">
        <v>759.52300000000002</v>
      </c>
      <c r="I28" s="2">
        <v>753.452</v>
      </c>
      <c r="J28" s="2">
        <v>932.923</v>
      </c>
      <c r="K28" s="2">
        <v>679.86199999999997</v>
      </c>
      <c r="L28" s="2">
        <v>580.45600000000002</v>
      </c>
      <c r="M28" s="2">
        <v>711.30899999999997</v>
      </c>
      <c r="N28" s="2">
        <v>684.03700000000003</v>
      </c>
      <c r="O28" s="2">
        <v>771.423</v>
      </c>
    </row>
    <row r="29" spans="1:15" x14ac:dyDescent="0.35">
      <c r="A29" s="3" t="s">
        <v>62</v>
      </c>
      <c r="B29" s="2">
        <v>523.15300000000002</v>
      </c>
      <c r="C29" s="2">
        <v>618.95600000000002</v>
      </c>
      <c r="D29" s="2">
        <v>569.22199999999998</v>
      </c>
      <c r="E29" s="2">
        <v>603.20000000000005</v>
      </c>
      <c r="F29" s="2">
        <v>528.84100000000001</v>
      </c>
      <c r="G29" s="2">
        <v>709.57100000000003</v>
      </c>
      <c r="H29" s="2">
        <v>610.83500000000004</v>
      </c>
      <c r="I29" s="2">
        <v>548.28700000000003</v>
      </c>
      <c r="J29" s="2">
        <v>743.06600000000003</v>
      </c>
      <c r="K29" s="2">
        <v>574.99</v>
      </c>
      <c r="L29" s="2">
        <v>416.62700000000001</v>
      </c>
      <c r="M29" s="2">
        <v>405.21600000000001</v>
      </c>
      <c r="N29" s="2">
        <v>605.86199999999997</v>
      </c>
      <c r="O29" s="2">
        <v>658.09100000000001</v>
      </c>
    </row>
    <row r="30" spans="1:15" x14ac:dyDescent="0.35">
      <c r="A30" s="3" t="s">
        <v>64</v>
      </c>
      <c r="B30" s="2">
        <v>338.048</v>
      </c>
      <c r="C30" s="2">
        <v>375.12400000000002</v>
      </c>
      <c r="D30" s="2">
        <v>397.28500000000003</v>
      </c>
      <c r="E30" s="2">
        <v>517.33799999999997</v>
      </c>
      <c r="F30" s="2">
        <v>313.80700000000002</v>
      </c>
      <c r="G30" s="2">
        <v>397.79899999999998</v>
      </c>
      <c r="H30" s="2">
        <v>308.88900000000001</v>
      </c>
      <c r="I30" s="2">
        <v>307.63799999999998</v>
      </c>
      <c r="J30" s="2">
        <v>413.11700000000002</v>
      </c>
      <c r="K30" s="2">
        <v>374.28800000000001</v>
      </c>
      <c r="L30" s="2">
        <v>453.84</v>
      </c>
      <c r="M30" s="2">
        <v>400.69600000000003</v>
      </c>
      <c r="N30" s="2">
        <v>459.60099999999989</v>
      </c>
      <c r="O30" s="2">
        <v>472.41</v>
      </c>
    </row>
    <row r="31" spans="1:15" x14ac:dyDescent="0.35">
      <c r="A31" s="3" t="s">
        <v>66</v>
      </c>
      <c r="B31" s="2">
        <v>913.58799999999997</v>
      </c>
      <c r="C31" s="2">
        <v>1127.54</v>
      </c>
      <c r="D31" s="2">
        <v>893.39599999999996</v>
      </c>
      <c r="E31" s="2">
        <v>1192.8789999999999</v>
      </c>
      <c r="F31" s="2">
        <v>1089.3779999999999</v>
      </c>
      <c r="G31" s="2">
        <v>1135.3920000000001</v>
      </c>
      <c r="H31" s="2">
        <v>1182.412</v>
      </c>
      <c r="I31" s="2">
        <v>1068.1489999999999</v>
      </c>
      <c r="J31" s="2">
        <v>1138.6500000000001</v>
      </c>
      <c r="K31" s="2">
        <v>871.50900000000001</v>
      </c>
      <c r="L31" s="2">
        <v>841.529</v>
      </c>
      <c r="M31" s="2">
        <v>1198.981</v>
      </c>
      <c r="N31" s="2">
        <v>863.572</v>
      </c>
      <c r="O31" s="2">
        <v>1136.9870000000001</v>
      </c>
    </row>
    <row r="32" spans="1:15" x14ac:dyDescent="0.35">
      <c r="A32" s="3" t="s">
        <v>65</v>
      </c>
      <c r="B32" s="2">
        <v>71.079999999999984</v>
      </c>
      <c r="C32" s="2">
        <v>214.99199999999999</v>
      </c>
      <c r="D32" s="2">
        <v>112.21299999999999</v>
      </c>
      <c r="E32" s="2">
        <v>186.352</v>
      </c>
      <c r="F32" s="2">
        <v>134.56</v>
      </c>
      <c r="G32" s="2">
        <v>137.977</v>
      </c>
      <c r="H32" s="2">
        <v>113.40300000000001</v>
      </c>
      <c r="I32" s="2">
        <v>127.642</v>
      </c>
      <c r="J32" s="2">
        <v>160.392</v>
      </c>
      <c r="K32" s="2">
        <v>49.411999999999999</v>
      </c>
      <c r="L32" s="2">
        <v>36.494999999999997</v>
      </c>
      <c r="M32" s="2">
        <v>145.655</v>
      </c>
      <c r="N32" s="2">
        <v>45.162999999999997</v>
      </c>
      <c r="O32" s="2">
        <v>207.50899999999999</v>
      </c>
    </row>
    <row r="33" spans="1:15" x14ac:dyDescent="0.35">
      <c r="A33" s="3" t="s">
        <v>67</v>
      </c>
      <c r="B33" s="2">
        <v>564.56200000000001</v>
      </c>
      <c r="C33" s="2">
        <v>732.78200000000004</v>
      </c>
      <c r="D33" s="2">
        <v>629.69999999999993</v>
      </c>
      <c r="E33" s="2">
        <v>783.13400000000001</v>
      </c>
      <c r="F33" s="2">
        <v>636.57100000000003</v>
      </c>
      <c r="G33" s="2">
        <v>761.69200000000001</v>
      </c>
      <c r="H33" s="2">
        <v>642.21100000000001</v>
      </c>
      <c r="I33" s="2">
        <v>565.51400000000001</v>
      </c>
      <c r="J33" s="2">
        <v>723.53700000000003</v>
      </c>
      <c r="K33" s="2">
        <v>538.88600000000008</v>
      </c>
      <c r="L33" s="2">
        <v>629.91500000000008</v>
      </c>
      <c r="M33" s="2">
        <v>641.32000000000005</v>
      </c>
      <c r="N33" s="2">
        <v>779.81900000000007</v>
      </c>
      <c r="O33" s="2">
        <v>794.58100000000002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C3F1F-BF3A-45C8-8571-9E8BC1D3F685}">
  <dimension ref="A1:R52"/>
  <sheetViews>
    <sheetView workbookViewId="0">
      <selection activeCell="J20" sqref="J20:K52"/>
    </sheetView>
  </sheetViews>
  <sheetFormatPr baseColWidth="10" defaultRowHeight="14.5" x14ac:dyDescent="0.35"/>
  <sheetData>
    <row r="1" spans="1:18" x14ac:dyDescent="0.35">
      <c r="A1" t="s">
        <v>86</v>
      </c>
    </row>
    <row r="2" spans="1:18" x14ac:dyDescent="0.35">
      <c r="A2" t="s">
        <v>76</v>
      </c>
    </row>
    <row r="3" spans="1:18" x14ac:dyDescent="0.35">
      <c r="A3" t="s">
        <v>82</v>
      </c>
    </row>
    <row r="4" spans="1:18" x14ac:dyDescent="0.35">
      <c r="A4" t="s">
        <v>78</v>
      </c>
    </row>
    <row r="5" spans="1:18" x14ac:dyDescent="0.35">
      <c r="A5" t="s">
        <v>77</v>
      </c>
    </row>
    <row r="7" spans="1:18" x14ac:dyDescent="0.35">
      <c r="A7" s="12" t="s">
        <v>75</v>
      </c>
      <c r="B7" s="13" t="s">
        <v>0</v>
      </c>
      <c r="D7" s="10" t="s">
        <v>38</v>
      </c>
      <c r="E7" s="11">
        <v>2011</v>
      </c>
      <c r="F7" s="11">
        <v>2012</v>
      </c>
      <c r="G7" s="11">
        <v>2013</v>
      </c>
      <c r="H7" s="11">
        <v>2014</v>
      </c>
      <c r="I7" s="11">
        <v>2015</v>
      </c>
      <c r="J7" s="11">
        <v>2016</v>
      </c>
      <c r="K7" s="11">
        <v>2017</v>
      </c>
      <c r="L7" s="11">
        <v>2018</v>
      </c>
      <c r="M7" s="11">
        <v>2019</v>
      </c>
      <c r="N7" s="11">
        <v>2020</v>
      </c>
      <c r="O7" s="11">
        <v>2021</v>
      </c>
      <c r="P7" s="11">
        <v>2022</v>
      </c>
      <c r="Q7" s="11">
        <v>2023</v>
      </c>
      <c r="R7" s="11">
        <v>2024</v>
      </c>
    </row>
    <row r="8" spans="1:18" x14ac:dyDescent="0.35">
      <c r="A8" s="3" t="s">
        <v>38</v>
      </c>
      <c r="B8" s="1" t="s">
        <v>1</v>
      </c>
      <c r="D8" t="s">
        <v>80</v>
      </c>
      <c r="E8" s="7">
        <v>2699.6979999999999</v>
      </c>
      <c r="F8" s="7">
        <v>2739.3420000000001</v>
      </c>
      <c r="G8" s="7">
        <v>2632.9949999999999</v>
      </c>
      <c r="H8" s="7">
        <v>2794.15</v>
      </c>
      <c r="I8" s="7">
        <v>2860.9870000000001</v>
      </c>
      <c r="J8" s="7">
        <v>2952.9250000000002</v>
      </c>
      <c r="K8" s="7">
        <v>2890.84</v>
      </c>
      <c r="L8" s="7">
        <v>2869.13</v>
      </c>
      <c r="M8" s="7">
        <v>2834.681</v>
      </c>
      <c r="N8" s="7">
        <v>2629.39</v>
      </c>
      <c r="O8" s="7">
        <v>2682.1959999999999</v>
      </c>
      <c r="P8" s="7">
        <v>2718.9479999999999</v>
      </c>
      <c r="Q8" s="7">
        <v>2794.1379999999999</v>
      </c>
      <c r="R8" s="7">
        <v>2887.152</v>
      </c>
    </row>
    <row r="9" spans="1:18" x14ac:dyDescent="0.35">
      <c r="A9" s="3" t="s">
        <v>68</v>
      </c>
      <c r="B9" s="1" t="s">
        <v>2</v>
      </c>
      <c r="D9" t="s">
        <v>81</v>
      </c>
      <c r="E9" s="7">
        <v>2094.498</v>
      </c>
      <c r="F9" s="7">
        <v>2134.1640000000002</v>
      </c>
      <c r="G9" s="7">
        <v>2069.9560000000001</v>
      </c>
      <c r="H9" s="7">
        <v>2185.5610000000001</v>
      </c>
      <c r="I9" s="7">
        <v>2221.875</v>
      </c>
      <c r="J9" s="7">
        <v>2273.4110000000001</v>
      </c>
      <c r="K9" s="7">
        <v>2234.625</v>
      </c>
      <c r="L9" s="7">
        <v>2219.9929999999999</v>
      </c>
      <c r="M9" s="7">
        <v>2220.3870000000002</v>
      </c>
      <c r="N9" s="7">
        <v>2100.123</v>
      </c>
      <c r="O9" s="7">
        <v>2105.6419999999998</v>
      </c>
      <c r="P9" s="7">
        <v>2145.8760000000002</v>
      </c>
      <c r="Q9" s="7">
        <v>2180.6550000000002</v>
      </c>
      <c r="R9" s="7">
        <v>2282.9609999999998</v>
      </c>
    </row>
    <row r="10" spans="1:18" x14ac:dyDescent="0.35">
      <c r="A10" s="3" t="s">
        <v>39</v>
      </c>
      <c r="B10" s="1" t="s">
        <v>3</v>
      </c>
      <c r="D10" s="8" t="s">
        <v>79</v>
      </c>
      <c r="E10" s="9">
        <v>581.90600000000006</v>
      </c>
      <c r="F10" s="9">
        <v>712.072</v>
      </c>
      <c r="G10" s="9">
        <v>574.09500000000003</v>
      </c>
      <c r="H10" s="9">
        <v>744.99800000000005</v>
      </c>
      <c r="I10" s="9">
        <v>656.78100000000006</v>
      </c>
      <c r="J10" s="9">
        <v>743.45799999999997</v>
      </c>
      <c r="K10" s="9">
        <v>723.94399999999996</v>
      </c>
      <c r="L10" s="9">
        <v>667.87599999999998</v>
      </c>
      <c r="M10" s="9">
        <v>759.98599999999999</v>
      </c>
      <c r="N10" s="9">
        <v>565.41899999999998</v>
      </c>
      <c r="O10" s="9">
        <v>560.67399999999998</v>
      </c>
      <c r="P10" s="9">
        <v>704.101</v>
      </c>
      <c r="Q10" s="9">
        <v>599.91600000000005</v>
      </c>
      <c r="R10" s="9">
        <v>751.27800000000002</v>
      </c>
    </row>
    <row r="11" spans="1:18" x14ac:dyDescent="0.35">
      <c r="A11" s="3" t="s">
        <v>40</v>
      </c>
      <c r="B11" s="1" t="s">
        <v>4</v>
      </c>
    </row>
    <row r="12" spans="1:18" x14ac:dyDescent="0.35">
      <c r="A12" s="3" t="s">
        <v>41</v>
      </c>
      <c r="B12" s="1" t="s">
        <v>5</v>
      </c>
    </row>
    <row r="13" spans="1:18" x14ac:dyDescent="0.35">
      <c r="A13" s="3" t="s">
        <v>42</v>
      </c>
      <c r="B13" s="1" t="s">
        <v>6</v>
      </c>
    </row>
    <row r="14" spans="1:18" x14ac:dyDescent="0.35">
      <c r="A14" s="3" t="s">
        <v>69</v>
      </c>
      <c r="B14" s="1" t="s">
        <v>7</v>
      </c>
    </row>
    <row r="15" spans="1:18" x14ac:dyDescent="0.35">
      <c r="A15" s="3" t="s">
        <v>43</v>
      </c>
      <c r="B15" s="1" t="s">
        <v>8</v>
      </c>
      <c r="L15" s="12" t="s">
        <v>75</v>
      </c>
      <c r="M15" s="13" t="s">
        <v>0</v>
      </c>
    </row>
    <row r="16" spans="1:18" x14ac:dyDescent="0.35">
      <c r="A16" s="3" t="s">
        <v>74</v>
      </c>
      <c r="B16" s="1" t="s">
        <v>9</v>
      </c>
      <c r="L16" s="3" t="s">
        <v>38</v>
      </c>
      <c r="M16" s="1" t="s">
        <v>1</v>
      </c>
    </row>
    <row r="17" spans="1:13" x14ac:dyDescent="0.35">
      <c r="A17" s="3" t="s">
        <v>44</v>
      </c>
      <c r="B17" s="1" t="s">
        <v>10</v>
      </c>
      <c r="L17" s="3" t="s">
        <v>68</v>
      </c>
      <c r="M17" s="1" t="s">
        <v>2</v>
      </c>
    </row>
    <row r="18" spans="1:13" x14ac:dyDescent="0.35">
      <c r="A18" s="3" t="s">
        <v>70</v>
      </c>
      <c r="B18" s="1" t="s">
        <v>11</v>
      </c>
      <c r="L18" s="3" t="s">
        <v>39</v>
      </c>
      <c r="M18" s="1" t="s">
        <v>3</v>
      </c>
    </row>
    <row r="19" spans="1:13" x14ac:dyDescent="0.35">
      <c r="A19" s="3" t="s">
        <v>45</v>
      </c>
      <c r="B19" s="1" t="s">
        <v>12</v>
      </c>
      <c r="L19" s="3" t="s">
        <v>40</v>
      </c>
      <c r="M19" s="1" t="s">
        <v>4</v>
      </c>
    </row>
    <row r="20" spans="1:13" x14ac:dyDescent="0.35">
      <c r="A20" s="3" t="s">
        <v>46</v>
      </c>
      <c r="B20" s="1" t="s">
        <v>13</v>
      </c>
      <c r="J20" s="15" t="s">
        <v>87</v>
      </c>
      <c r="K20" s="15" t="s">
        <v>75</v>
      </c>
      <c r="L20" s="3" t="s">
        <v>41</v>
      </c>
      <c r="M20" s="1" t="s">
        <v>5</v>
      </c>
    </row>
    <row r="21" spans="1:13" x14ac:dyDescent="0.35">
      <c r="A21" s="3" t="s">
        <v>48</v>
      </c>
      <c r="B21" s="1" t="s">
        <v>14</v>
      </c>
      <c r="J21" s="15">
        <v>1</v>
      </c>
      <c r="K21" s="3" t="s">
        <v>39</v>
      </c>
      <c r="L21" s="3" t="s">
        <v>42</v>
      </c>
      <c r="M21" s="1" t="s">
        <v>6</v>
      </c>
    </row>
    <row r="22" spans="1:13" x14ac:dyDescent="0.35">
      <c r="A22" s="3" t="s">
        <v>47</v>
      </c>
      <c r="B22" s="1" t="s">
        <v>15</v>
      </c>
      <c r="J22" s="15">
        <v>2</v>
      </c>
      <c r="K22" s="3" t="s">
        <v>40</v>
      </c>
      <c r="L22" s="3" t="s">
        <v>69</v>
      </c>
      <c r="M22" s="1" t="s">
        <v>7</v>
      </c>
    </row>
    <row r="23" spans="1:13" x14ac:dyDescent="0.35">
      <c r="A23" s="3" t="s">
        <v>49</v>
      </c>
      <c r="B23" s="1" t="s">
        <v>16</v>
      </c>
      <c r="J23" s="15">
        <v>3</v>
      </c>
      <c r="K23" s="3" t="s">
        <v>41</v>
      </c>
      <c r="L23" s="3" t="s">
        <v>43</v>
      </c>
      <c r="M23" s="1" t="s">
        <v>8</v>
      </c>
    </row>
    <row r="24" spans="1:13" x14ac:dyDescent="0.35">
      <c r="A24" s="3" t="s">
        <v>71</v>
      </c>
      <c r="B24" s="1" t="s">
        <v>17</v>
      </c>
      <c r="J24" s="15">
        <v>4</v>
      </c>
      <c r="K24" s="3" t="s">
        <v>42</v>
      </c>
      <c r="L24" s="3" t="s">
        <v>74</v>
      </c>
      <c r="M24" s="1" t="s">
        <v>9</v>
      </c>
    </row>
    <row r="25" spans="1:13" x14ac:dyDescent="0.35">
      <c r="A25" s="3" t="s">
        <v>50</v>
      </c>
      <c r="B25" s="1" t="s">
        <v>18</v>
      </c>
      <c r="J25" s="15">
        <v>5</v>
      </c>
      <c r="K25" s="3" t="s">
        <v>69</v>
      </c>
      <c r="L25" s="3" t="s">
        <v>44</v>
      </c>
      <c r="M25" s="1" t="s">
        <v>10</v>
      </c>
    </row>
    <row r="26" spans="1:13" x14ac:dyDescent="0.35">
      <c r="A26" s="3" t="s">
        <v>51</v>
      </c>
      <c r="B26" s="1" t="s">
        <v>19</v>
      </c>
      <c r="J26" s="15">
        <v>6</v>
      </c>
      <c r="K26" s="3" t="s">
        <v>43</v>
      </c>
      <c r="L26" s="3" t="s">
        <v>70</v>
      </c>
      <c r="M26" s="1" t="s">
        <v>11</v>
      </c>
    </row>
    <row r="27" spans="1:13" x14ac:dyDescent="0.35">
      <c r="A27" s="3" t="s">
        <v>72</v>
      </c>
      <c r="B27" s="1" t="s">
        <v>20</v>
      </c>
      <c r="J27" s="15">
        <v>7</v>
      </c>
      <c r="K27" s="3" t="s">
        <v>44</v>
      </c>
      <c r="L27" s="3" t="s">
        <v>45</v>
      </c>
      <c r="M27" s="1" t="s">
        <v>12</v>
      </c>
    </row>
    <row r="28" spans="1:13" x14ac:dyDescent="0.35">
      <c r="A28" s="3" t="s">
        <v>53</v>
      </c>
      <c r="B28" s="1" t="s">
        <v>21</v>
      </c>
      <c r="J28" s="15">
        <v>8</v>
      </c>
      <c r="K28" s="3" t="s">
        <v>45</v>
      </c>
      <c r="L28" s="3" t="s">
        <v>46</v>
      </c>
      <c r="M28" s="1" t="s">
        <v>13</v>
      </c>
    </row>
    <row r="29" spans="1:13" x14ac:dyDescent="0.35">
      <c r="A29" s="3" t="s">
        <v>55</v>
      </c>
      <c r="B29" s="1" t="s">
        <v>22</v>
      </c>
      <c r="J29" s="15">
        <v>9</v>
      </c>
      <c r="K29" s="3" t="s">
        <v>46</v>
      </c>
      <c r="L29" s="3" t="s">
        <v>48</v>
      </c>
      <c r="M29" s="1" t="s">
        <v>14</v>
      </c>
    </row>
    <row r="30" spans="1:13" x14ac:dyDescent="0.35">
      <c r="A30" s="3" t="s">
        <v>54</v>
      </c>
      <c r="B30" s="1" t="s">
        <v>23</v>
      </c>
      <c r="J30" s="15">
        <v>10</v>
      </c>
      <c r="K30" s="3" t="s">
        <v>48</v>
      </c>
      <c r="L30" s="3" t="s">
        <v>47</v>
      </c>
      <c r="M30" s="1" t="s">
        <v>15</v>
      </c>
    </row>
    <row r="31" spans="1:13" x14ac:dyDescent="0.35">
      <c r="A31" s="3" t="s">
        <v>52</v>
      </c>
      <c r="B31" s="1" t="s">
        <v>24</v>
      </c>
      <c r="J31" s="15">
        <v>11</v>
      </c>
      <c r="K31" s="3" t="s">
        <v>47</v>
      </c>
      <c r="L31" s="3" t="s">
        <v>49</v>
      </c>
      <c r="M31" s="1" t="s">
        <v>16</v>
      </c>
    </row>
    <row r="32" spans="1:13" x14ac:dyDescent="0.35">
      <c r="A32" s="3" t="s">
        <v>56</v>
      </c>
      <c r="B32" s="1" t="s">
        <v>25</v>
      </c>
      <c r="J32" s="15">
        <v>12</v>
      </c>
      <c r="K32" s="3" t="s">
        <v>49</v>
      </c>
      <c r="L32" s="3" t="s">
        <v>71</v>
      </c>
      <c r="M32" s="1" t="s">
        <v>17</v>
      </c>
    </row>
    <row r="33" spans="1:13" x14ac:dyDescent="0.35">
      <c r="A33" s="3" t="s">
        <v>57</v>
      </c>
      <c r="B33" s="1" t="s">
        <v>26</v>
      </c>
      <c r="J33" s="15">
        <v>13</v>
      </c>
      <c r="K33" s="3" t="s">
        <v>71</v>
      </c>
      <c r="L33" s="3" t="s">
        <v>50</v>
      </c>
      <c r="M33" s="1" t="s">
        <v>18</v>
      </c>
    </row>
    <row r="34" spans="1:13" x14ac:dyDescent="0.35">
      <c r="A34" s="3" t="s">
        <v>58</v>
      </c>
      <c r="B34" s="1" t="s">
        <v>27</v>
      </c>
      <c r="J34" s="15">
        <v>14</v>
      </c>
      <c r="K34" s="3" t="s">
        <v>50</v>
      </c>
      <c r="L34" s="3" t="s">
        <v>51</v>
      </c>
      <c r="M34" s="1" t="s">
        <v>19</v>
      </c>
    </row>
    <row r="35" spans="1:13" x14ac:dyDescent="0.35">
      <c r="A35" s="3" t="s">
        <v>59</v>
      </c>
      <c r="B35" s="1" t="s">
        <v>28</v>
      </c>
      <c r="J35" s="15">
        <v>15</v>
      </c>
      <c r="K35" s="3" t="s">
        <v>51</v>
      </c>
      <c r="L35" s="3" t="s">
        <v>72</v>
      </c>
      <c r="M35" s="1" t="s">
        <v>20</v>
      </c>
    </row>
    <row r="36" spans="1:13" x14ac:dyDescent="0.35">
      <c r="A36" s="3" t="s">
        <v>73</v>
      </c>
      <c r="B36" s="1" t="s">
        <v>29</v>
      </c>
      <c r="J36" s="15">
        <v>16</v>
      </c>
      <c r="K36" s="3" t="s">
        <v>53</v>
      </c>
      <c r="L36" s="3" t="s">
        <v>53</v>
      </c>
      <c r="M36" s="1" t="s">
        <v>21</v>
      </c>
    </row>
    <row r="37" spans="1:13" x14ac:dyDescent="0.35">
      <c r="A37" s="3" t="s">
        <v>60</v>
      </c>
      <c r="B37" s="1" t="s">
        <v>30</v>
      </c>
      <c r="J37" s="15">
        <v>17</v>
      </c>
      <c r="K37" s="3" t="s">
        <v>55</v>
      </c>
      <c r="L37" s="3" t="s">
        <v>55</v>
      </c>
      <c r="M37" s="1" t="s">
        <v>22</v>
      </c>
    </row>
    <row r="38" spans="1:13" x14ac:dyDescent="0.35">
      <c r="A38" s="3" t="s">
        <v>61</v>
      </c>
      <c r="B38" s="1" t="s">
        <v>31</v>
      </c>
      <c r="J38" s="15">
        <v>18</v>
      </c>
      <c r="K38" s="3" t="s">
        <v>54</v>
      </c>
      <c r="L38" s="3" t="s">
        <v>54</v>
      </c>
      <c r="M38" s="1" t="s">
        <v>23</v>
      </c>
    </row>
    <row r="39" spans="1:13" x14ac:dyDescent="0.35">
      <c r="A39" s="3" t="s">
        <v>63</v>
      </c>
      <c r="B39" s="1" t="s">
        <v>32</v>
      </c>
      <c r="J39" s="15">
        <v>19</v>
      </c>
      <c r="K39" s="3" t="s">
        <v>52</v>
      </c>
      <c r="L39" s="3" t="s">
        <v>52</v>
      </c>
      <c r="M39" s="1" t="s">
        <v>24</v>
      </c>
    </row>
    <row r="40" spans="1:13" x14ac:dyDescent="0.35">
      <c r="A40" s="3" t="s">
        <v>62</v>
      </c>
      <c r="B40" s="1" t="s">
        <v>33</v>
      </c>
      <c r="J40" s="15">
        <v>20</v>
      </c>
      <c r="K40" s="3" t="s">
        <v>56</v>
      </c>
      <c r="L40" s="3" t="s">
        <v>56</v>
      </c>
      <c r="M40" s="1" t="s">
        <v>25</v>
      </c>
    </row>
    <row r="41" spans="1:13" x14ac:dyDescent="0.35">
      <c r="A41" s="3" t="s">
        <v>64</v>
      </c>
      <c r="B41" s="1" t="s">
        <v>34</v>
      </c>
      <c r="J41" s="15">
        <v>21</v>
      </c>
      <c r="K41" s="3" t="s">
        <v>57</v>
      </c>
      <c r="L41" s="3" t="s">
        <v>57</v>
      </c>
      <c r="M41" s="1" t="s">
        <v>26</v>
      </c>
    </row>
    <row r="42" spans="1:13" x14ac:dyDescent="0.35">
      <c r="A42" s="3" t="s">
        <v>66</v>
      </c>
      <c r="B42" s="1" t="s">
        <v>35</v>
      </c>
      <c r="J42" s="15">
        <v>22</v>
      </c>
      <c r="K42" s="3" t="s">
        <v>58</v>
      </c>
      <c r="L42" s="3" t="s">
        <v>58</v>
      </c>
      <c r="M42" s="1" t="s">
        <v>27</v>
      </c>
    </row>
    <row r="43" spans="1:13" x14ac:dyDescent="0.35">
      <c r="A43" s="3" t="s">
        <v>65</v>
      </c>
      <c r="B43" s="1" t="s">
        <v>36</v>
      </c>
      <c r="J43" s="15">
        <v>23</v>
      </c>
      <c r="K43" s="3" t="s">
        <v>59</v>
      </c>
      <c r="L43" s="3" t="s">
        <v>59</v>
      </c>
      <c r="M43" s="1" t="s">
        <v>28</v>
      </c>
    </row>
    <row r="44" spans="1:13" x14ac:dyDescent="0.35">
      <c r="A44" s="3" t="s">
        <v>67</v>
      </c>
      <c r="B44" s="1" t="s">
        <v>37</v>
      </c>
      <c r="J44" s="15">
        <v>24</v>
      </c>
      <c r="K44" s="3" t="s">
        <v>88</v>
      </c>
      <c r="L44" s="3" t="s">
        <v>73</v>
      </c>
      <c r="M44" s="1" t="s">
        <v>29</v>
      </c>
    </row>
    <row r="45" spans="1:13" x14ac:dyDescent="0.35">
      <c r="J45" s="15">
        <v>25</v>
      </c>
      <c r="K45" s="3" t="s">
        <v>60</v>
      </c>
      <c r="L45" s="3" t="s">
        <v>60</v>
      </c>
      <c r="M45" s="1" t="s">
        <v>30</v>
      </c>
    </row>
    <row r="46" spans="1:13" x14ac:dyDescent="0.35">
      <c r="J46" s="15">
        <v>26</v>
      </c>
      <c r="K46" s="3" t="s">
        <v>61</v>
      </c>
      <c r="L46" s="3" t="s">
        <v>61</v>
      </c>
      <c r="M46" s="1" t="s">
        <v>31</v>
      </c>
    </row>
    <row r="47" spans="1:13" x14ac:dyDescent="0.35">
      <c r="J47" s="15">
        <v>27</v>
      </c>
      <c r="K47" s="3" t="s">
        <v>63</v>
      </c>
      <c r="L47" s="3" t="s">
        <v>63</v>
      </c>
      <c r="M47" s="1" t="s">
        <v>32</v>
      </c>
    </row>
    <row r="48" spans="1:13" x14ac:dyDescent="0.35">
      <c r="J48" s="15">
        <v>28</v>
      </c>
      <c r="K48" s="3" t="s">
        <v>62</v>
      </c>
      <c r="L48" s="3" t="s">
        <v>62</v>
      </c>
      <c r="M48" s="1" t="s">
        <v>33</v>
      </c>
    </row>
    <row r="49" spans="10:13" x14ac:dyDescent="0.35">
      <c r="J49" s="15">
        <v>29</v>
      </c>
      <c r="K49" s="3" t="s">
        <v>64</v>
      </c>
      <c r="L49" s="3" t="s">
        <v>64</v>
      </c>
      <c r="M49" s="1" t="s">
        <v>34</v>
      </c>
    </row>
    <row r="50" spans="10:13" x14ac:dyDescent="0.35">
      <c r="J50" s="15">
        <v>30</v>
      </c>
      <c r="K50" s="3" t="s">
        <v>66</v>
      </c>
      <c r="L50" s="3" t="s">
        <v>66</v>
      </c>
      <c r="M50" s="1" t="s">
        <v>35</v>
      </c>
    </row>
    <row r="51" spans="10:13" x14ac:dyDescent="0.35">
      <c r="J51" s="15">
        <v>31</v>
      </c>
      <c r="K51" s="3" t="s">
        <v>65</v>
      </c>
      <c r="L51" s="3" t="s">
        <v>65</v>
      </c>
      <c r="M51" s="1" t="s">
        <v>36</v>
      </c>
    </row>
    <row r="52" spans="10:13" x14ac:dyDescent="0.35">
      <c r="J52" s="15">
        <v>32</v>
      </c>
      <c r="K52" s="3" t="s">
        <v>67</v>
      </c>
      <c r="L52" s="3" t="s">
        <v>67</v>
      </c>
      <c r="M52" s="1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755FD-8C2A-4F79-A9A4-9B5F9564EA5B}">
  <dimension ref="A1:AE68"/>
  <sheetViews>
    <sheetView tabSelected="1" topLeftCell="A22" workbookViewId="0">
      <selection activeCell="A14" sqref="A14"/>
    </sheetView>
  </sheetViews>
  <sheetFormatPr baseColWidth="10" defaultRowHeight="14.5" x14ac:dyDescent="0.35"/>
  <sheetData>
    <row r="1" spans="1:31" x14ac:dyDescent="0.35">
      <c r="A1" s="14" t="s">
        <v>75</v>
      </c>
      <c r="B1" t="s">
        <v>83</v>
      </c>
      <c r="Q1" t="s">
        <v>75</v>
      </c>
      <c r="R1" t="s">
        <v>85</v>
      </c>
    </row>
    <row r="2" spans="1:31" x14ac:dyDescent="0.35">
      <c r="A2" s="3" t="s">
        <v>39</v>
      </c>
      <c r="B2">
        <f>'CDD18'!B2-'CDD20'!B2</f>
        <v>807.03500000000031</v>
      </c>
      <c r="C2">
        <f>'CDD18'!C2-'CDD20'!C2</f>
        <v>838.76700000000028</v>
      </c>
      <c r="D2">
        <f>'CDD18'!D2-'CDD20'!D2</f>
        <v>808.60600000000022</v>
      </c>
      <c r="E2">
        <f>'CDD18'!E2-'CDD20'!E2</f>
        <v>836.91199999999981</v>
      </c>
      <c r="F2">
        <f>'CDD18'!F2-'CDD20'!F2</f>
        <v>810.38599999999997</v>
      </c>
      <c r="G2">
        <f>'CDD18'!G2-'CDD20'!G2</f>
        <v>833.02500000000009</v>
      </c>
      <c r="H2">
        <f>'CDD18'!H2-'CDD20'!H2</f>
        <v>822.98599999999988</v>
      </c>
      <c r="I2">
        <f>'CDD18'!I2-'CDD20'!I2</f>
        <v>836.67399999999998</v>
      </c>
      <c r="J2">
        <f>'CDD18'!J2-'CDD20'!J2</f>
        <v>841.18600000000015</v>
      </c>
      <c r="K2">
        <f>'CDD18'!K2-'CDD20'!K2</f>
        <v>793.05799999999999</v>
      </c>
      <c r="L2">
        <f>'CDD18'!L2-'CDD20'!L2</f>
        <v>787.79399999999987</v>
      </c>
      <c r="M2">
        <f>'CDD18'!M2-'CDD20'!M2</f>
        <v>785.57499999999982</v>
      </c>
      <c r="N2">
        <f>'CDD18'!N2-'CDD20'!N2</f>
        <v>826.29899999999998</v>
      </c>
      <c r="O2">
        <f>'CDD18'!O2-'CDD20'!O2</f>
        <v>828.096</v>
      </c>
      <c r="Q2" t="s">
        <v>39</v>
      </c>
      <c r="R2">
        <f>'CDD20'!B2-'CDD26'!B2</f>
        <v>1821.3789999999999</v>
      </c>
      <c r="S2">
        <f>'CDD20'!C2-'CDD26'!C2</f>
        <v>1811.1969999999997</v>
      </c>
      <c r="T2">
        <f>'CDD20'!D2-'CDD26'!D2</f>
        <v>1811.431</v>
      </c>
      <c r="U2">
        <f>'CDD20'!E2-'CDD26'!E2</f>
        <v>1769.3940000000002</v>
      </c>
      <c r="V2">
        <f>'CDD20'!F2-'CDD26'!F2</f>
        <v>1842.6659999999999</v>
      </c>
      <c r="W2">
        <f>'CDD20'!G2-'CDD26'!G2</f>
        <v>1864.7799999999997</v>
      </c>
      <c r="X2">
        <f>'CDD20'!H2-'CDD26'!H2</f>
        <v>1810.2739999999999</v>
      </c>
      <c r="Y2">
        <f>'CDD20'!I2-'CDD26'!I2</f>
        <v>1868.9750000000001</v>
      </c>
      <c r="Z2">
        <f>'CDD20'!J2-'CDD26'!J2</f>
        <v>1797.0480000000002</v>
      </c>
      <c r="AA2">
        <f>'CDD20'!K2-'CDD26'!K2</f>
        <v>1852.0160000000001</v>
      </c>
      <c r="AB2">
        <f>'CDD20'!L2-'CDD26'!L2</f>
        <v>1831.0450000000001</v>
      </c>
      <c r="AC2">
        <f>'CDD20'!M2-'CDD26'!M2</f>
        <v>1807.9369999999999</v>
      </c>
      <c r="AD2">
        <f>'CDD20'!N2-'CDD26'!N2</f>
        <v>1871.7979999999998</v>
      </c>
      <c r="AE2">
        <f>'CDD20'!O2-'CDD26'!O2</f>
        <v>1905.3229999999999</v>
      </c>
    </row>
    <row r="3" spans="1:31" x14ac:dyDescent="0.35">
      <c r="A3" s="5" t="s">
        <v>40</v>
      </c>
      <c r="B3">
        <f>'CDD18'!B3-'CDD20'!B3</f>
        <v>-37.143000000000029</v>
      </c>
      <c r="C3">
        <f>'CDD18'!C3-'CDD20'!C3</f>
        <v>-34.864000000000033</v>
      </c>
      <c r="D3">
        <f>'CDD18'!D3-'CDD20'!D3</f>
        <v>-45.617999999999938</v>
      </c>
      <c r="E3">
        <f>'CDD18'!E3-'CDD20'!E3</f>
        <v>-34.086999999999989</v>
      </c>
      <c r="F3">
        <f>'CDD18'!F3-'CDD20'!F3</f>
        <v>-54.572000000000003</v>
      </c>
      <c r="G3">
        <f>'CDD18'!G3-'CDD20'!G3</f>
        <v>-37.97199999999998</v>
      </c>
      <c r="H3">
        <f>'CDD18'!H3-'CDD20'!H3</f>
        <v>-14.382999999999925</v>
      </c>
      <c r="I3">
        <f>'CDD18'!I3-'CDD20'!I3</f>
        <v>-44.562999999999988</v>
      </c>
      <c r="J3">
        <f>'CDD18'!J3-'CDD20'!J3</f>
        <v>-40.349000000000046</v>
      </c>
      <c r="K3">
        <f>'CDD18'!K3-'CDD20'!K3</f>
        <v>-32.605000000000018</v>
      </c>
      <c r="L3">
        <f>'CDD18'!L3-'CDD20'!L3</f>
        <v>-27.286999999999921</v>
      </c>
      <c r="M3">
        <f>'CDD18'!M3-'CDD20'!M3</f>
        <v>-33.796000000000049</v>
      </c>
      <c r="N3">
        <f>'CDD18'!N3-'CDD20'!N3</f>
        <v>-39.861000000000104</v>
      </c>
      <c r="O3">
        <f>'CDD18'!O3-'CDD20'!O3</f>
        <v>-16.647000000000048</v>
      </c>
      <c r="Q3" t="s">
        <v>40</v>
      </c>
      <c r="R3">
        <f>'CDD20'!B3-'CDD26'!B3</f>
        <v>681.45299999999997</v>
      </c>
      <c r="S3">
        <f>'CDD20'!C3-'CDD26'!C3</f>
        <v>707.60900000000004</v>
      </c>
      <c r="T3">
        <f>'CDD20'!D3-'CDD26'!D3</f>
        <v>754.72299999999996</v>
      </c>
      <c r="U3">
        <f>'CDD20'!E3-'CDD26'!E3</f>
        <v>765.75800000000004</v>
      </c>
      <c r="V3">
        <f>'CDD20'!F3-'CDD26'!F3</f>
        <v>689.59</v>
      </c>
      <c r="W3">
        <f>'CDD20'!G3-'CDD26'!G3</f>
        <v>755.80799999999999</v>
      </c>
      <c r="X3">
        <f>'CDD20'!H3-'CDD26'!H3</f>
        <v>751.95899999999995</v>
      </c>
      <c r="Y3">
        <f>'CDD20'!I3-'CDD26'!I3</f>
        <v>720.08199999999999</v>
      </c>
      <c r="Z3">
        <f>'CDD20'!J3-'CDD26'!J3</f>
        <v>768.81799999999998</v>
      </c>
      <c r="AA3">
        <f>'CDD20'!K3-'CDD26'!K3</f>
        <v>732.423</v>
      </c>
      <c r="AB3">
        <f>'CDD20'!L3-'CDD26'!L3</f>
        <v>760.61199999999997</v>
      </c>
      <c r="AC3">
        <f>'CDD20'!M3-'CDD26'!M3</f>
        <v>738.68100000000004</v>
      </c>
      <c r="AD3">
        <f>'CDD20'!N3-'CDD26'!N3</f>
        <v>758.35900000000004</v>
      </c>
      <c r="AE3">
        <f>'CDD20'!O3-'CDD26'!O3</f>
        <v>819.85599999999999</v>
      </c>
    </row>
    <row r="4" spans="1:31" x14ac:dyDescent="0.35">
      <c r="A4" s="3" t="s">
        <v>41</v>
      </c>
      <c r="B4">
        <f>'CDD18'!B4-'CDD20'!B4</f>
        <v>436.53999999999996</v>
      </c>
      <c r="C4">
        <f>'CDD18'!C4-'CDD20'!C4</f>
        <v>454.66399999999976</v>
      </c>
      <c r="D4">
        <f>'CDD18'!D4-'CDD20'!D4</f>
        <v>509.98299999999972</v>
      </c>
      <c r="E4">
        <f>'CDD18'!E4-'CDD20'!E4</f>
        <v>495.09199999999987</v>
      </c>
      <c r="F4">
        <f>'CDD18'!F4-'CDD20'!F4</f>
        <v>504.97299999999996</v>
      </c>
      <c r="G4">
        <f>'CDD18'!G4-'CDD20'!G4</f>
        <v>521.6690000000001</v>
      </c>
      <c r="H4">
        <f>'CDD18'!H4-'CDD20'!H4</f>
        <v>489.80600000000027</v>
      </c>
      <c r="I4">
        <f>'CDD18'!I4-'CDD20'!I4</f>
        <v>465.88200000000006</v>
      </c>
      <c r="J4">
        <f>'CDD18'!J4-'CDD20'!J4</f>
        <v>457.36000000000013</v>
      </c>
      <c r="K4">
        <f>'CDD18'!K4-'CDD20'!K4</f>
        <v>455.08299999999986</v>
      </c>
      <c r="L4">
        <f>'CDD18'!L4-'CDD20'!L4</f>
        <v>474.53</v>
      </c>
      <c r="M4">
        <f>'CDD18'!M4-'CDD20'!M4</f>
        <v>442.63499999999976</v>
      </c>
      <c r="N4">
        <f>'CDD18'!N4-'CDD20'!N4</f>
        <v>498.22199999999998</v>
      </c>
      <c r="O4">
        <f>'CDD18'!O4-'CDD20'!O4</f>
        <v>463.4670000000001</v>
      </c>
      <c r="Q4" t="s">
        <v>41</v>
      </c>
      <c r="R4">
        <f>'CDD20'!B4-'CDD26'!B4</f>
        <v>1364.7439999999999</v>
      </c>
      <c r="S4">
        <f>'CDD20'!C4-'CDD26'!C4</f>
        <v>1382.2740000000001</v>
      </c>
      <c r="T4">
        <f>'CDD20'!D4-'CDD26'!D4</f>
        <v>1437.5310000000002</v>
      </c>
      <c r="U4">
        <f>'CDD20'!E4-'CDD26'!E4</f>
        <v>1434.9690000000001</v>
      </c>
      <c r="V4">
        <f>'CDD20'!F4-'CDD26'!F4</f>
        <v>1482.6489999999999</v>
      </c>
      <c r="W4">
        <f>'CDD20'!G4-'CDD26'!G4</f>
        <v>1542.722</v>
      </c>
      <c r="X4">
        <f>'CDD20'!H4-'CDD26'!H4</f>
        <v>1456.9349999999999</v>
      </c>
      <c r="Y4">
        <f>'CDD20'!I4-'CDD26'!I4</f>
        <v>1404.55</v>
      </c>
      <c r="Z4">
        <f>'CDD20'!J4-'CDD26'!J4</f>
        <v>1424.1669999999999</v>
      </c>
      <c r="AA4">
        <f>'CDD20'!K4-'CDD26'!K4</f>
        <v>1441.921</v>
      </c>
      <c r="AB4">
        <f>'CDD20'!L4-'CDD26'!L4</f>
        <v>1429.556</v>
      </c>
      <c r="AC4">
        <f>'CDD20'!M4-'CDD26'!M4</f>
        <v>1438.4829999999999</v>
      </c>
      <c r="AD4">
        <f>'CDD20'!N4-'CDD26'!N4</f>
        <v>1435.9560000000001</v>
      </c>
      <c r="AE4">
        <f>'CDD20'!O4-'CDD26'!O4</f>
        <v>1417.135</v>
      </c>
    </row>
    <row r="5" spans="1:31" x14ac:dyDescent="0.35">
      <c r="A5" s="3" t="s">
        <v>42</v>
      </c>
      <c r="B5">
        <f>'CDD18'!B5-'CDD20'!B5</f>
        <v>670.10699999999997</v>
      </c>
      <c r="C5">
        <f>'CDD18'!C5-'CDD20'!C5</f>
        <v>725.99600000000009</v>
      </c>
      <c r="D5">
        <f>'CDD18'!D5-'CDD20'!D5</f>
        <v>639.7470000000003</v>
      </c>
      <c r="E5">
        <f>'CDD18'!E5-'CDD20'!E5</f>
        <v>682.58799999999974</v>
      </c>
      <c r="F5">
        <f>'CDD18'!F5-'CDD20'!F5</f>
        <v>764.74900000000025</v>
      </c>
      <c r="G5">
        <f>'CDD18'!G5-'CDD20'!G5</f>
        <v>768.60699999999997</v>
      </c>
      <c r="H5">
        <f>'CDD18'!H5-'CDD20'!H5</f>
        <v>734.89800000000014</v>
      </c>
      <c r="I5">
        <f>'CDD18'!I5-'CDD20'!I5</f>
        <v>754.45399999999972</v>
      </c>
      <c r="J5">
        <f>'CDD18'!J5-'CDD20'!J5</f>
        <v>756.53700000000026</v>
      </c>
      <c r="K5">
        <f>'CDD18'!K5-'CDD20'!K5</f>
        <v>582.55600000000004</v>
      </c>
      <c r="L5">
        <f>'CDD18'!L5-'CDD20'!L5</f>
        <v>648.15099999999984</v>
      </c>
      <c r="M5">
        <f>'CDD18'!M5-'CDD20'!M5</f>
        <v>655.40000000000009</v>
      </c>
      <c r="N5">
        <f>'CDD18'!N5-'CDD20'!N5</f>
        <v>772.81700000000001</v>
      </c>
      <c r="O5">
        <f>'CDD18'!O5-'CDD20'!O5</f>
        <v>725.52300000000014</v>
      </c>
      <c r="Q5" t="s">
        <v>42</v>
      </c>
      <c r="R5">
        <f>'CDD20'!B5-'CDD26'!B5</f>
        <v>1386.3599999999997</v>
      </c>
      <c r="S5">
        <f>'CDD20'!C5-'CDD26'!C5</f>
        <v>1172.0999999999997</v>
      </c>
      <c r="T5">
        <f>'CDD20'!D5-'CDD26'!D5</f>
        <v>1317.9779999999998</v>
      </c>
      <c r="U5">
        <f>'CDD20'!E5-'CDD26'!E5</f>
        <v>1240.8620000000001</v>
      </c>
      <c r="V5">
        <f>'CDD20'!F5-'CDD26'!F5</f>
        <v>1434.4399999999996</v>
      </c>
      <c r="W5">
        <f>'CDD20'!G5-'CDD26'!G5</f>
        <v>1334.829</v>
      </c>
      <c r="X5">
        <f>'CDD20'!H5-'CDD26'!H5</f>
        <v>1387.5699999999997</v>
      </c>
      <c r="Y5">
        <f>'CDD20'!I5-'CDD26'!I5</f>
        <v>1430.4470000000001</v>
      </c>
      <c r="Z5">
        <f>'CDD20'!J5-'CDD26'!J5</f>
        <v>1273.825</v>
      </c>
      <c r="AA5">
        <f>'CDD20'!K5-'CDD26'!K5</f>
        <v>1387.6899999999998</v>
      </c>
      <c r="AB5">
        <f>'CDD20'!L5-'CDD26'!L5</f>
        <v>1388.7610000000002</v>
      </c>
      <c r="AC5">
        <f>'CDD20'!M5-'CDD26'!M5</f>
        <v>1315.7239999999997</v>
      </c>
      <c r="AD5">
        <f>'CDD20'!N5-'CDD26'!N5</f>
        <v>1392.241</v>
      </c>
      <c r="AE5">
        <f>'CDD20'!O5-'CDD26'!O5</f>
        <v>1342.5649999999998</v>
      </c>
    </row>
    <row r="6" spans="1:31" x14ac:dyDescent="0.35">
      <c r="A6" s="3" t="s">
        <v>69</v>
      </c>
      <c r="B6">
        <f>'CDD18'!B6-'CDD20'!B6</f>
        <v>521.60499999999979</v>
      </c>
      <c r="C6">
        <f>'CDD18'!C6-'CDD20'!C6</f>
        <v>632.61999999999989</v>
      </c>
      <c r="D6">
        <f>'CDD18'!D6-'CDD20'!D6</f>
        <v>554.68900000000008</v>
      </c>
      <c r="E6">
        <f>'CDD18'!E6-'CDD20'!E6</f>
        <v>622.27599999999984</v>
      </c>
      <c r="F6">
        <f>'CDD18'!F6-'CDD20'!F6</f>
        <v>572.83000000000015</v>
      </c>
      <c r="G6">
        <f>'CDD18'!G6-'CDD20'!G6</f>
        <v>630.57000000000016</v>
      </c>
      <c r="H6">
        <f>'CDD18'!H6-'CDD20'!H6</f>
        <v>566.22200000000021</v>
      </c>
      <c r="I6">
        <f>'CDD18'!I6-'CDD20'!I6</f>
        <v>551.64199999999983</v>
      </c>
      <c r="J6">
        <f>'CDD18'!J6-'CDD20'!J6</f>
        <v>546.38200000000006</v>
      </c>
      <c r="K6">
        <f>'CDD18'!K6-'CDD20'!K6</f>
        <v>471.41999999999985</v>
      </c>
      <c r="L6">
        <f>'CDD18'!L6-'CDD20'!L6</f>
        <v>533.10100000000011</v>
      </c>
      <c r="M6">
        <f>'CDD18'!M6-'CDD20'!M6</f>
        <v>581.36999999999989</v>
      </c>
      <c r="N6">
        <f>'CDD18'!N6-'CDD20'!N6</f>
        <v>455.13499999999999</v>
      </c>
      <c r="O6">
        <f>'CDD18'!O6-'CDD20'!O6</f>
        <v>607.63300000000004</v>
      </c>
      <c r="Q6" t="s">
        <v>69</v>
      </c>
      <c r="R6">
        <f>'CDD20'!B6-'CDD26'!B6</f>
        <v>1104.549</v>
      </c>
      <c r="S6">
        <f>'CDD20'!C6-'CDD26'!C6</f>
        <v>1044.0260000000001</v>
      </c>
      <c r="T6">
        <f>'CDD20'!D6-'CDD26'!D6</f>
        <v>1124.1970000000001</v>
      </c>
      <c r="U6">
        <f>'CDD20'!E6-'CDD26'!E6</f>
        <v>1028.4540000000002</v>
      </c>
      <c r="V6">
        <f>'CDD20'!F6-'CDD26'!F6</f>
        <v>1139.383</v>
      </c>
      <c r="W6">
        <f>'CDD20'!G6-'CDD26'!G6</f>
        <v>1193.7750000000001</v>
      </c>
      <c r="X6">
        <f>'CDD20'!H6-'CDD26'!H6</f>
        <v>1151.623</v>
      </c>
      <c r="Y6">
        <f>'CDD20'!I6-'CDD26'!I6</f>
        <v>1114.3700000000001</v>
      </c>
      <c r="Z6">
        <f>'CDD20'!J6-'CDD26'!J6</f>
        <v>1059.4670000000001</v>
      </c>
      <c r="AA6">
        <f>'CDD20'!K6-'CDD26'!K6</f>
        <v>1157.1860000000001</v>
      </c>
      <c r="AB6">
        <f>'CDD20'!L6-'CDD26'!L6</f>
        <v>1195.9740000000002</v>
      </c>
      <c r="AC6">
        <f>'CDD20'!M6-'CDD26'!M6</f>
        <v>1144.674</v>
      </c>
      <c r="AD6">
        <f>'CDD20'!N6-'CDD26'!N6</f>
        <v>1138.6510000000001</v>
      </c>
      <c r="AE6">
        <f>'CDD20'!O6-'CDD26'!O6</f>
        <v>1140.9269999999999</v>
      </c>
    </row>
    <row r="7" spans="1:31" x14ac:dyDescent="0.35">
      <c r="A7" s="3" t="s">
        <v>43</v>
      </c>
      <c r="B7">
        <f>'CDD18'!B7-'CDD20'!B7</f>
        <v>678.6579999999999</v>
      </c>
      <c r="C7">
        <f>'CDD18'!C7-'CDD20'!C7</f>
        <v>747.19799999999987</v>
      </c>
      <c r="D7">
        <f>'CDD18'!D7-'CDD20'!D7</f>
        <v>681.98299999999995</v>
      </c>
      <c r="E7">
        <f>'CDD18'!E7-'CDD20'!E7</f>
        <v>669.06600000000003</v>
      </c>
      <c r="F7">
        <f>'CDD18'!F7-'CDD20'!F7</f>
        <v>733.79700000000025</v>
      </c>
      <c r="G7">
        <f>'CDD18'!G7-'CDD20'!G7</f>
        <v>752.16800000000012</v>
      </c>
      <c r="H7">
        <f>'CDD18'!H7-'CDD20'!H7</f>
        <v>770.95199999999977</v>
      </c>
      <c r="I7">
        <f>'CDD18'!I7-'CDD20'!I7</f>
        <v>738.57299999999987</v>
      </c>
      <c r="J7">
        <f>'CDD18'!J7-'CDD20'!J7</f>
        <v>743.19200000000001</v>
      </c>
      <c r="K7">
        <f>'CDD18'!K7-'CDD20'!K7</f>
        <v>566.16700000000014</v>
      </c>
      <c r="L7">
        <f>'CDD18'!L7-'CDD20'!L7</f>
        <v>660.95999999999981</v>
      </c>
      <c r="M7">
        <f>'CDD18'!M7-'CDD20'!M7</f>
        <v>677.27200000000016</v>
      </c>
      <c r="N7">
        <f>'CDD18'!N7-'CDD20'!N7</f>
        <v>684.14499999999975</v>
      </c>
      <c r="O7">
        <f>'CDD18'!O7-'CDD20'!O7</f>
        <v>683.20499999999993</v>
      </c>
      <c r="Q7" t="s">
        <v>43</v>
      </c>
      <c r="R7">
        <f>'CDD20'!B7-'CDD26'!B7</f>
        <v>1364.6660000000002</v>
      </c>
      <c r="S7">
        <f>'CDD20'!C7-'CDD26'!C7</f>
        <v>1273.0349999999999</v>
      </c>
      <c r="T7">
        <f>'CDD20'!D7-'CDD26'!D7</f>
        <v>1327.114</v>
      </c>
      <c r="U7">
        <f>'CDD20'!E7-'CDD26'!E7</f>
        <v>1268.5620000000001</v>
      </c>
      <c r="V7">
        <f>'CDD20'!F7-'CDD26'!F7</f>
        <v>1423.7369999999999</v>
      </c>
      <c r="W7">
        <f>'CDD20'!G7-'CDD26'!G7</f>
        <v>1366.136</v>
      </c>
      <c r="X7">
        <f>'CDD20'!H7-'CDD26'!H7</f>
        <v>1353.933</v>
      </c>
      <c r="Y7">
        <f>'CDD20'!I7-'CDD26'!I7</f>
        <v>1395.952</v>
      </c>
      <c r="Z7">
        <f>'CDD20'!J7-'CDD26'!J7</f>
        <v>1295.2010000000002</v>
      </c>
      <c r="AA7">
        <f>'CDD20'!K7-'CDD26'!K7</f>
        <v>1397.2669999999998</v>
      </c>
      <c r="AB7">
        <f>'CDD20'!L7-'CDD26'!L7</f>
        <v>1441.4090000000001</v>
      </c>
      <c r="AC7">
        <f>'CDD20'!M7-'CDD26'!M7</f>
        <v>1259.665</v>
      </c>
      <c r="AD7">
        <f>'CDD20'!N7-'CDD26'!N7</f>
        <v>1381.2330000000002</v>
      </c>
      <c r="AE7">
        <f>'CDD20'!O7-'CDD26'!O7</f>
        <v>1419.127</v>
      </c>
    </row>
    <row r="8" spans="1:31" x14ac:dyDescent="0.35">
      <c r="A8" s="3" t="s">
        <v>44</v>
      </c>
      <c r="B8">
        <f>'CDD18'!B8-'CDD20'!B8</f>
        <v>715.79800000000023</v>
      </c>
      <c r="C8">
        <f>'CDD18'!C8-'CDD20'!C8</f>
        <v>811.96</v>
      </c>
      <c r="D8">
        <f>'CDD18'!D8-'CDD20'!D8</f>
        <v>672.59099999999989</v>
      </c>
      <c r="E8">
        <f>'CDD18'!E8-'CDD20'!E8</f>
        <v>797.62700000000041</v>
      </c>
      <c r="F8">
        <f>'CDD18'!F8-'CDD20'!F8</f>
        <v>770.68599999999969</v>
      </c>
      <c r="G8">
        <f>'CDD18'!G8-'CDD20'!G8</f>
        <v>833.63800000000037</v>
      </c>
      <c r="H8">
        <f>'CDD18'!H8-'CDD20'!H8</f>
        <v>788.80400000000009</v>
      </c>
      <c r="I8">
        <f>'CDD18'!I8-'CDD20'!I8</f>
        <v>781.94100000000026</v>
      </c>
      <c r="J8">
        <f>'CDD18'!J8-'CDD20'!J8</f>
        <v>786.96699999999964</v>
      </c>
      <c r="K8">
        <f>'CDD18'!K8-'CDD20'!K8</f>
        <v>698.74299999999994</v>
      </c>
      <c r="L8">
        <f>'CDD18'!L8-'CDD20'!L8</f>
        <v>666.70299999999997</v>
      </c>
      <c r="M8">
        <f>'CDD18'!M8-'CDD20'!M8</f>
        <v>771.38300000000027</v>
      </c>
      <c r="N8">
        <f>'CDD18'!N8-'CDD20'!N8</f>
        <v>661.46799999999985</v>
      </c>
      <c r="O8">
        <f>'CDD18'!O8-'CDD20'!O8</f>
        <v>783.50500000000011</v>
      </c>
      <c r="Q8" t="s">
        <v>44</v>
      </c>
      <c r="R8">
        <f>'CDD20'!B8-'CDD26'!B8</f>
        <v>1190.2829999999999</v>
      </c>
      <c r="S8">
        <f>'CDD20'!C8-'CDD26'!C8</f>
        <v>1027.2389999999998</v>
      </c>
      <c r="T8">
        <f>'CDD20'!D8-'CDD26'!D8</f>
        <v>1146.5400000000002</v>
      </c>
      <c r="U8">
        <f>'CDD20'!E8-'CDD26'!E8</f>
        <v>1069.9549999999997</v>
      </c>
      <c r="V8">
        <f>'CDD20'!F8-'CDD26'!F8</f>
        <v>1153.4010000000001</v>
      </c>
      <c r="W8">
        <f>'CDD20'!G8-'CDD26'!G8</f>
        <v>1190.4839999999999</v>
      </c>
      <c r="X8">
        <f>'CDD20'!H8-'CDD26'!H8</f>
        <v>1122.6579999999999</v>
      </c>
      <c r="Y8">
        <f>'CDD20'!I8-'CDD26'!I8</f>
        <v>1175.5339999999999</v>
      </c>
      <c r="Z8">
        <f>'CDD20'!J8-'CDD26'!J8</f>
        <v>1090.9450000000002</v>
      </c>
      <c r="AA8">
        <f>'CDD20'!K8-'CDD26'!K8</f>
        <v>1150.7060000000001</v>
      </c>
      <c r="AB8">
        <f>'CDD20'!L8-'CDD26'!L8</f>
        <v>1244.704</v>
      </c>
      <c r="AC8">
        <f>'CDD20'!M8-'CDD26'!M8</f>
        <v>1083.6099999999999</v>
      </c>
      <c r="AD8">
        <f>'CDD20'!N8-'CDD26'!N8</f>
        <v>1287.087</v>
      </c>
      <c r="AE8">
        <f>'CDD20'!O8-'CDD26'!O8</f>
        <v>1155.701</v>
      </c>
    </row>
    <row r="9" spans="1:31" x14ac:dyDescent="0.35">
      <c r="A9" s="3" t="s">
        <v>45</v>
      </c>
      <c r="B9">
        <f>'CDD18'!B9-'CDD20'!B9</f>
        <v>738.75099999999975</v>
      </c>
      <c r="C9">
        <f>'CDD18'!C9-'CDD20'!C9</f>
        <v>747.92999999999984</v>
      </c>
      <c r="D9">
        <f>'CDD18'!D9-'CDD20'!D9</f>
        <v>754.0590000000002</v>
      </c>
      <c r="E9">
        <f>'CDD18'!E9-'CDD20'!E9</f>
        <v>757.82600000000002</v>
      </c>
      <c r="F9">
        <f>'CDD18'!F9-'CDD20'!F9</f>
        <v>747.44900000000007</v>
      </c>
      <c r="G9">
        <f>'CDD18'!G9-'CDD20'!G9</f>
        <v>750.31399999999985</v>
      </c>
      <c r="H9">
        <f>'CDD18'!H9-'CDD20'!H9</f>
        <v>741.02099999999973</v>
      </c>
      <c r="I9">
        <f>'CDD18'!I9-'CDD20'!I9</f>
        <v>768.17500000000018</v>
      </c>
      <c r="J9">
        <f>'CDD18'!J9-'CDD20'!J9</f>
        <v>750.27599999999984</v>
      </c>
      <c r="K9">
        <f>'CDD18'!K9-'CDD20'!K9</f>
        <v>739.48199999999997</v>
      </c>
      <c r="L9">
        <f>'CDD18'!L9-'CDD20'!L9</f>
        <v>739.41800000000012</v>
      </c>
      <c r="M9">
        <f>'CDD18'!M9-'CDD20'!M9</f>
        <v>737.78400000000011</v>
      </c>
      <c r="N9">
        <f>'CDD18'!N9-'CDD20'!N9</f>
        <v>757.73899999999958</v>
      </c>
      <c r="O9">
        <f>'CDD18'!O9-'CDD20'!O9</f>
        <v>751.78400000000011</v>
      </c>
      <c r="Q9" t="s">
        <v>45</v>
      </c>
      <c r="R9">
        <f>'CDD20'!B9-'CDD26'!B9</f>
        <v>2106.348</v>
      </c>
      <c r="S9">
        <f>'CDD20'!C9-'CDD26'!C9</f>
        <v>2129.701</v>
      </c>
      <c r="T9">
        <f>'CDD20'!D9-'CDD26'!D9</f>
        <v>2105.415</v>
      </c>
      <c r="U9">
        <f>'CDD20'!E9-'CDD26'!E9</f>
        <v>2113.3620000000001</v>
      </c>
      <c r="V9">
        <f>'CDD20'!F9-'CDD26'!F9</f>
        <v>2136.3409999999999</v>
      </c>
      <c r="W9">
        <f>'CDD20'!G9-'CDD26'!G9</f>
        <v>2100.7330000000002</v>
      </c>
      <c r="X9">
        <f>'CDD20'!H9-'CDD26'!H9</f>
        <v>2125.692</v>
      </c>
      <c r="Y9">
        <f>'CDD20'!I9-'CDD26'!I9</f>
        <v>2104.578</v>
      </c>
      <c r="Z9">
        <f>'CDD20'!J9-'CDD26'!J9</f>
        <v>2145.8209999999999</v>
      </c>
      <c r="AA9">
        <f>'CDD20'!K9-'CDD26'!K9</f>
        <v>2138.4209999999998</v>
      </c>
      <c r="AB9">
        <f>'CDD20'!L9-'CDD26'!L9</f>
        <v>2145.0639999999999</v>
      </c>
      <c r="AC9">
        <f>'CDD20'!M9-'CDD26'!M9</f>
        <v>2091.5789999999997</v>
      </c>
      <c r="AD9">
        <f>'CDD20'!N9-'CDD26'!N9</f>
        <v>2149.3520000000003</v>
      </c>
      <c r="AE9">
        <f>'CDD20'!O9-'CDD26'!O9</f>
        <v>2146.779</v>
      </c>
    </row>
    <row r="10" spans="1:31" x14ac:dyDescent="0.35">
      <c r="A10" s="3" t="s">
        <v>46</v>
      </c>
      <c r="B10">
        <f>'CDD18'!B10-'CDD20'!B10</f>
        <v>826.72600000000011</v>
      </c>
      <c r="C10">
        <f>'CDD18'!C10-'CDD20'!C10</f>
        <v>836.14100000000008</v>
      </c>
      <c r="D10">
        <f>'CDD18'!D10-'CDD20'!D10</f>
        <v>787.65800000000036</v>
      </c>
      <c r="E10">
        <f>'CDD18'!E10-'CDD20'!E10</f>
        <v>825.71500000000015</v>
      </c>
      <c r="F10">
        <f>'CDD18'!F10-'CDD20'!F10</f>
        <v>864.98800000000028</v>
      </c>
      <c r="G10">
        <f>'CDD18'!G10-'CDD20'!G10</f>
        <v>902.25300000000016</v>
      </c>
      <c r="H10">
        <f>'CDD18'!H10-'CDD20'!H10</f>
        <v>853.58099999999968</v>
      </c>
      <c r="I10">
        <f>'CDD18'!I10-'CDD20'!I10</f>
        <v>924.00599999999986</v>
      </c>
      <c r="J10">
        <f>'CDD18'!J10-'CDD20'!J10</f>
        <v>802.14700000000039</v>
      </c>
      <c r="K10">
        <f>'CDD18'!K10-'CDD20'!K10</f>
        <v>760.39300000000003</v>
      </c>
      <c r="L10">
        <f>'CDD18'!L10-'CDD20'!L10</f>
        <v>812.34500000000025</v>
      </c>
      <c r="M10">
        <f>'CDD18'!M10-'CDD20'!M10</f>
        <v>839.58899999999994</v>
      </c>
      <c r="N10">
        <f>'CDD18'!N10-'CDD20'!N10</f>
        <v>811.65700000000015</v>
      </c>
      <c r="O10">
        <f>'CDD18'!O10-'CDD20'!O10</f>
        <v>821.51299999999992</v>
      </c>
      <c r="Q10" t="s">
        <v>46</v>
      </c>
      <c r="R10">
        <f>'CDD20'!B10-'CDD26'!B10</f>
        <v>1628.9569999999999</v>
      </c>
      <c r="S10">
        <f>'CDD20'!C10-'CDD26'!C10</f>
        <v>1552.7339999999999</v>
      </c>
      <c r="T10">
        <f>'CDD20'!D10-'CDD26'!D10</f>
        <v>1594.3159999999998</v>
      </c>
      <c r="U10">
        <f>'CDD20'!E10-'CDD26'!E10</f>
        <v>1600.3539999999998</v>
      </c>
      <c r="V10">
        <f>'CDD20'!F10-'CDD26'!F10</f>
        <v>1642.9679999999998</v>
      </c>
      <c r="W10">
        <f>'CDD20'!G10-'CDD26'!G10</f>
        <v>1657.087</v>
      </c>
      <c r="X10">
        <f>'CDD20'!H10-'CDD26'!H10</f>
        <v>1640.7260000000001</v>
      </c>
      <c r="Y10">
        <f>'CDD20'!I10-'CDD26'!I10</f>
        <v>1660.761</v>
      </c>
      <c r="Z10">
        <f>'CDD20'!J10-'CDD26'!J10</f>
        <v>1547.6959999999999</v>
      </c>
      <c r="AA10">
        <f>'CDD20'!K10-'CDD26'!K10</f>
        <v>1545.3890000000001</v>
      </c>
      <c r="AB10">
        <f>'CDD20'!L10-'CDD26'!L10</f>
        <v>1602.6119999999996</v>
      </c>
      <c r="AC10">
        <f>'CDD20'!M10-'CDD26'!M10</f>
        <v>1582.9189999999999</v>
      </c>
      <c r="AD10">
        <f>'CDD20'!N10-'CDD26'!N10</f>
        <v>1694.9109999999998</v>
      </c>
      <c r="AE10">
        <f>'CDD20'!O10-'CDD26'!O10</f>
        <v>1578.1750000000002</v>
      </c>
    </row>
    <row r="11" spans="1:31" x14ac:dyDescent="0.35">
      <c r="A11" s="5" t="s">
        <v>48</v>
      </c>
      <c r="B11">
        <f>'CDD18'!B11-'CDD20'!B11</f>
        <v>-51.30499999999995</v>
      </c>
      <c r="C11">
        <f>'CDD18'!C11-'CDD20'!C11</f>
        <v>-7.0999999999999091</v>
      </c>
      <c r="D11">
        <f>'CDD18'!D11-'CDD20'!D11</f>
        <v>-31.302000000000021</v>
      </c>
      <c r="E11">
        <f>'CDD18'!E11-'CDD20'!E11</f>
        <v>-12.980000000000018</v>
      </c>
      <c r="F11">
        <f>'CDD18'!F11-'CDD20'!F11</f>
        <v>-52.786000000000058</v>
      </c>
      <c r="G11">
        <f>'CDD18'!G11-'CDD20'!G11</f>
        <v>-32.90300000000002</v>
      </c>
      <c r="H11">
        <f>'CDD18'!H11-'CDD20'!H11</f>
        <v>-44.153999999999996</v>
      </c>
      <c r="I11">
        <f>'CDD18'!I11-'CDD20'!I11</f>
        <v>-51.061000000000035</v>
      </c>
      <c r="J11">
        <f>'CDD18'!J11-'CDD20'!J11</f>
        <v>-36.25</v>
      </c>
      <c r="K11">
        <f>'CDD18'!K11-'CDD20'!K11</f>
        <v>-80.634000000000015</v>
      </c>
      <c r="L11">
        <f>'CDD18'!L11-'CDD20'!L11</f>
        <v>-84.442999999999984</v>
      </c>
      <c r="M11">
        <f>'CDD18'!M11-'CDD20'!M11</f>
        <v>-17.644999999999982</v>
      </c>
      <c r="N11">
        <f>'CDD18'!N11-'CDD20'!N11</f>
        <v>-94.954000000000065</v>
      </c>
      <c r="O11">
        <f>'CDD18'!O11-'CDD20'!O11</f>
        <v>-23.621000000000095</v>
      </c>
      <c r="Q11" t="s">
        <v>48</v>
      </c>
      <c r="R11">
        <f>'CDD20'!B11-'CDD26'!B11</f>
        <v>787.48199999999997</v>
      </c>
      <c r="S11">
        <f>'CDD20'!C11-'CDD26'!C11</f>
        <v>841.59999999999991</v>
      </c>
      <c r="T11">
        <f>'CDD20'!D11-'CDD26'!D11</f>
        <v>786.226</v>
      </c>
      <c r="U11">
        <f>'CDD20'!E11-'CDD26'!E11</f>
        <v>821.65200000000004</v>
      </c>
      <c r="V11">
        <f>'CDD20'!F11-'CDD26'!F11</f>
        <v>803.16500000000008</v>
      </c>
      <c r="W11">
        <f>'CDD20'!G11-'CDD26'!G11</f>
        <v>898.36300000000006</v>
      </c>
      <c r="X11">
        <f>'CDD20'!H11-'CDD26'!H11</f>
        <v>852.14599999999996</v>
      </c>
      <c r="Y11">
        <f>'CDD20'!I11-'CDD26'!I11</f>
        <v>798.17600000000004</v>
      </c>
      <c r="Z11">
        <f>'CDD20'!J11-'CDD26'!J11</f>
        <v>797.45699999999999</v>
      </c>
      <c r="AA11">
        <f>'CDD20'!K11-'CDD26'!K11</f>
        <v>743.61099999999999</v>
      </c>
      <c r="AB11">
        <f>'CDD20'!L11-'CDD26'!L11</f>
        <v>778.80799999999999</v>
      </c>
      <c r="AC11">
        <f>'CDD20'!M11-'CDD26'!M11</f>
        <v>857.78</v>
      </c>
      <c r="AD11">
        <f>'CDD20'!N11-'CDD26'!N11</f>
        <v>660.44</v>
      </c>
      <c r="AE11">
        <f>'CDD20'!O11-'CDD26'!O11</f>
        <v>878.77</v>
      </c>
    </row>
    <row r="12" spans="1:31" x14ac:dyDescent="0.35">
      <c r="A12" s="3" t="s">
        <v>47</v>
      </c>
      <c r="B12">
        <f>'CDD18'!B12-'CDD20'!B12</f>
        <v>708.68499999999995</v>
      </c>
      <c r="C12">
        <f>'CDD18'!C12-'CDD20'!C12</f>
        <v>795.86300000000028</v>
      </c>
      <c r="D12">
        <f>'CDD18'!D12-'CDD20'!D12</f>
        <v>685.51400000000012</v>
      </c>
      <c r="E12">
        <f>'CDD18'!E12-'CDD20'!E12</f>
        <v>788.74800000000005</v>
      </c>
      <c r="F12">
        <f>'CDD18'!F12-'CDD20'!F12</f>
        <v>741.48999999999978</v>
      </c>
      <c r="G12">
        <f>'CDD18'!G12-'CDD20'!G12</f>
        <v>818.44700000000012</v>
      </c>
      <c r="H12">
        <f>'CDD18'!H12-'CDD20'!H12</f>
        <v>765.77199999999993</v>
      </c>
      <c r="I12">
        <f>'CDD18'!I12-'CDD20'!I12</f>
        <v>754.79899999999998</v>
      </c>
      <c r="J12">
        <f>'CDD18'!J12-'CDD20'!J12</f>
        <v>741.72500000000036</v>
      </c>
      <c r="K12">
        <f>'CDD18'!K12-'CDD20'!K12</f>
        <v>663.70800000000008</v>
      </c>
      <c r="L12">
        <f>'CDD18'!L12-'CDD20'!L12</f>
        <v>671.03800000000001</v>
      </c>
      <c r="M12">
        <f>'CDD18'!M12-'CDD20'!M12</f>
        <v>739.45899999999983</v>
      </c>
      <c r="N12">
        <f>'CDD18'!N12-'CDD20'!N12</f>
        <v>640.76199999999994</v>
      </c>
      <c r="O12">
        <f>'CDD18'!O12-'CDD20'!O12</f>
        <v>769.4670000000001</v>
      </c>
      <c r="Q12" t="s">
        <v>47</v>
      </c>
      <c r="R12">
        <f>'CDD20'!B12-'CDD26'!B12</f>
        <v>1188.9219999999998</v>
      </c>
      <c r="S12">
        <f>'CDD20'!C12-'CDD26'!C12</f>
        <v>1031.9749999999999</v>
      </c>
      <c r="T12">
        <f>'CDD20'!D12-'CDD26'!D12</f>
        <v>1145.73</v>
      </c>
      <c r="U12">
        <f>'CDD20'!E12-'CDD26'!E12</f>
        <v>1055.704</v>
      </c>
      <c r="V12">
        <f>'CDD20'!F12-'CDD26'!F12</f>
        <v>1149.7640000000001</v>
      </c>
      <c r="W12">
        <f>'CDD20'!G12-'CDD26'!G12</f>
        <v>1182.2270000000001</v>
      </c>
      <c r="X12">
        <f>'CDD20'!H12-'CDD26'!H12</f>
        <v>1126.0189999999998</v>
      </c>
      <c r="Y12">
        <f>'CDD20'!I12-'CDD26'!I12</f>
        <v>1174.2599999999998</v>
      </c>
      <c r="Z12">
        <f>'CDD20'!J12-'CDD26'!J12</f>
        <v>1094.5879999999997</v>
      </c>
      <c r="AA12">
        <f>'CDD20'!K12-'CDD26'!K12</f>
        <v>1150.8649999999998</v>
      </c>
      <c r="AB12">
        <f>'CDD20'!L12-'CDD26'!L12</f>
        <v>1240.308</v>
      </c>
      <c r="AC12">
        <f>'CDD20'!M12-'CDD26'!M12</f>
        <v>1117.7680000000003</v>
      </c>
      <c r="AD12">
        <f>'CDD20'!N12-'CDD26'!N12</f>
        <v>1264.76</v>
      </c>
      <c r="AE12">
        <f>'CDD20'!O12-'CDD26'!O12</f>
        <v>1170.5309999999997</v>
      </c>
    </row>
    <row r="13" spans="1:31" x14ac:dyDescent="0.35">
      <c r="A13" s="3" t="s">
        <v>49</v>
      </c>
      <c r="B13">
        <f>'CDD18'!B13-'CDD20'!B13</f>
        <v>625.56099999999992</v>
      </c>
      <c r="C13">
        <f>'CDD18'!C13-'CDD20'!C13</f>
        <v>644.95499999999993</v>
      </c>
      <c r="D13">
        <f>'CDD18'!D13-'CDD20'!D13</f>
        <v>588.5619999999999</v>
      </c>
      <c r="E13">
        <f>'CDD18'!E13-'CDD20'!E13</f>
        <v>611.94900000000007</v>
      </c>
      <c r="F13">
        <f>'CDD18'!F13-'CDD20'!F13</f>
        <v>668.77100000000019</v>
      </c>
      <c r="G13">
        <f>'CDD18'!G13-'CDD20'!G13</f>
        <v>693.12599999999975</v>
      </c>
      <c r="H13">
        <f>'CDD18'!H13-'CDD20'!H13</f>
        <v>657.18499999999995</v>
      </c>
      <c r="I13">
        <f>'CDD18'!I13-'CDD20'!I13</f>
        <v>644.86699999999996</v>
      </c>
      <c r="J13">
        <f>'CDD18'!J13-'CDD20'!J13</f>
        <v>657.42799999999988</v>
      </c>
      <c r="K13">
        <f>'CDD18'!K13-'CDD20'!K13</f>
        <v>533.53600000000029</v>
      </c>
      <c r="L13">
        <f>'CDD18'!L13-'CDD20'!L13</f>
        <v>611.13700000000017</v>
      </c>
      <c r="M13">
        <f>'CDD18'!M13-'CDD20'!M13</f>
        <v>602.85699999999997</v>
      </c>
      <c r="N13">
        <f>'CDD18'!N13-'CDD20'!N13</f>
        <v>697.39499999999998</v>
      </c>
      <c r="O13">
        <f>'CDD18'!O13-'CDD20'!O13</f>
        <v>657.63999999999987</v>
      </c>
      <c r="Q13" t="s">
        <v>49</v>
      </c>
      <c r="R13">
        <f>'CDD20'!B13-'CDD26'!B13</f>
        <v>1400.7139999999999</v>
      </c>
      <c r="S13">
        <f>'CDD20'!C13-'CDD26'!C13</f>
        <v>1213.837</v>
      </c>
      <c r="T13">
        <f>'CDD20'!D13-'CDD26'!D13</f>
        <v>1327.7860000000001</v>
      </c>
      <c r="U13">
        <f>'CDD20'!E13-'CDD26'!E13</f>
        <v>1274.6370000000002</v>
      </c>
      <c r="V13">
        <f>'CDD20'!F13-'CDD26'!F13</f>
        <v>1446.2919999999999</v>
      </c>
      <c r="W13">
        <f>'CDD20'!G13-'CDD26'!G13</f>
        <v>1375.3010000000002</v>
      </c>
      <c r="X13">
        <f>'CDD20'!H13-'CDD26'!H13</f>
        <v>1391.6790000000001</v>
      </c>
      <c r="Y13">
        <f>'CDD20'!I13-'CDD26'!I13</f>
        <v>1420.098</v>
      </c>
      <c r="Z13">
        <f>'CDD20'!J13-'CDD26'!J13</f>
        <v>1303.9760000000001</v>
      </c>
      <c r="AA13">
        <f>'CDD20'!K13-'CDD26'!K13</f>
        <v>1392.2269999999999</v>
      </c>
      <c r="AB13">
        <f>'CDD20'!L13-'CDD26'!L13</f>
        <v>1423.395</v>
      </c>
      <c r="AC13">
        <f>'CDD20'!M13-'CDD26'!M13</f>
        <v>1310.9560000000001</v>
      </c>
      <c r="AD13">
        <f>'CDD20'!N13-'CDD26'!N13</f>
        <v>1370.7619999999999</v>
      </c>
      <c r="AE13">
        <f>'CDD20'!O13-'CDD26'!O13</f>
        <v>1345.5880000000002</v>
      </c>
    </row>
    <row r="14" spans="1:31" x14ac:dyDescent="0.35">
      <c r="A14" s="5" t="s">
        <v>71</v>
      </c>
      <c r="B14">
        <f>'CDD18'!B14-'CDD20'!B14</f>
        <v>-112.33700000000005</v>
      </c>
      <c r="C14">
        <f>'CDD18'!C14-'CDD20'!C14</f>
        <v>-100.53899999999999</v>
      </c>
      <c r="D14">
        <f>'CDD18'!D14-'CDD20'!D14</f>
        <v>-113.76799999999997</v>
      </c>
      <c r="E14">
        <f>'CDD18'!E14-'CDD20'!E14</f>
        <v>-116.09699999999998</v>
      </c>
      <c r="F14">
        <f>'CDD18'!F14-'CDD20'!F14</f>
        <v>-192.44600000000003</v>
      </c>
      <c r="G14">
        <f>'CDD18'!G14-'CDD20'!G14</f>
        <v>-142.786</v>
      </c>
      <c r="H14">
        <f>'CDD18'!H14-'CDD20'!H14</f>
        <v>-182.65300000000002</v>
      </c>
      <c r="I14">
        <f>'CDD18'!I14-'CDD20'!I14</f>
        <v>-139.34300000000002</v>
      </c>
      <c r="J14">
        <f>'CDD18'!J14-'CDD20'!J14</f>
        <v>-155.69900000000001</v>
      </c>
      <c r="K14">
        <f>'CDD18'!K14-'CDD20'!K14</f>
        <v>-155.56300000000002</v>
      </c>
      <c r="L14">
        <f>'CDD18'!L14-'CDD20'!L14</f>
        <v>-158.07499999999999</v>
      </c>
      <c r="M14">
        <f>'CDD18'!M14-'CDD20'!M14</f>
        <v>-168.11099999999999</v>
      </c>
      <c r="N14">
        <f>'CDD18'!N14-'CDD20'!N14</f>
        <v>-142.42200000000003</v>
      </c>
      <c r="O14">
        <f>'CDD18'!O14-'CDD20'!O14</f>
        <v>-104.09299999999996</v>
      </c>
      <c r="Q14" t="s">
        <v>71</v>
      </c>
      <c r="R14">
        <f>'CDD20'!B14-'CDD26'!B14</f>
        <v>472.45800000000003</v>
      </c>
      <c r="S14">
        <f>'CDD20'!C14-'CDD26'!C14</f>
        <v>500.94</v>
      </c>
      <c r="T14">
        <f>'CDD20'!D14-'CDD26'!D14</f>
        <v>485.88</v>
      </c>
      <c r="U14">
        <f>'CDD20'!E14-'CDD26'!E14</f>
        <v>472.697</v>
      </c>
      <c r="V14">
        <f>'CDD20'!F14-'CDD26'!F14</f>
        <v>428.11200000000002</v>
      </c>
      <c r="W14">
        <f>'CDD20'!G14-'CDD26'!G14</f>
        <v>500.16699999999997</v>
      </c>
      <c r="X14">
        <f>'CDD20'!H14-'CDD26'!H14</f>
        <v>468.21899999999999</v>
      </c>
      <c r="Y14">
        <f>'CDD20'!I14-'CDD26'!I14</f>
        <v>443.03399999999999</v>
      </c>
      <c r="Z14">
        <f>'CDD20'!J14-'CDD26'!J14</f>
        <v>431.58199999999999</v>
      </c>
      <c r="AA14">
        <f>'CDD20'!K14-'CDD26'!K14</f>
        <v>387.221</v>
      </c>
      <c r="AB14">
        <f>'CDD20'!L14-'CDD26'!L14</f>
        <v>432.11</v>
      </c>
      <c r="AC14">
        <f>'CDD20'!M14-'CDD26'!M14</f>
        <v>457.00299999999999</v>
      </c>
      <c r="AD14">
        <f>'CDD20'!N14-'CDD26'!N14</f>
        <v>368.67500000000001</v>
      </c>
      <c r="AE14">
        <f>'CDD20'!O14-'CDD26'!O14</f>
        <v>499.91199999999998</v>
      </c>
    </row>
    <row r="15" spans="1:31" x14ac:dyDescent="0.35">
      <c r="A15" s="3" t="s">
        <v>50</v>
      </c>
      <c r="B15">
        <f>'CDD18'!B15-'CDD20'!B15</f>
        <v>743.87900000000013</v>
      </c>
      <c r="C15">
        <f>'CDD18'!C15-'CDD20'!C15</f>
        <v>796.47899999999981</v>
      </c>
      <c r="D15">
        <f>'CDD18'!D15-'CDD20'!D15</f>
        <v>760.35200000000009</v>
      </c>
      <c r="E15">
        <f>'CDD18'!E15-'CDD20'!E15</f>
        <v>760.69299999999998</v>
      </c>
      <c r="F15">
        <f>'CDD18'!F15-'CDD20'!F15</f>
        <v>758.7829999999999</v>
      </c>
      <c r="G15">
        <f>'CDD18'!G15-'CDD20'!G15</f>
        <v>802.65900000000011</v>
      </c>
      <c r="H15">
        <f>'CDD18'!H15-'CDD20'!H15</f>
        <v>763.94900000000007</v>
      </c>
      <c r="I15">
        <f>'CDD18'!I15-'CDD20'!I15</f>
        <v>790.23799999999983</v>
      </c>
      <c r="J15">
        <f>'CDD18'!J15-'CDD20'!J15</f>
        <v>809.93200000000002</v>
      </c>
      <c r="K15">
        <f>'CDD18'!K15-'CDD20'!K15</f>
        <v>749.66500000000019</v>
      </c>
      <c r="L15">
        <f>'CDD18'!L15-'CDD20'!L15</f>
        <v>726.84999999999968</v>
      </c>
      <c r="M15">
        <f>'CDD18'!M15-'CDD20'!M15</f>
        <v>718.00900000000001</v>
      </c>
      <c r="N15">
        <f>'CDD18'!N15-'CDD20'!N15</f>
        <v>771.71099999999979</v>
      </c>
      <c r="O15">
        <f>'CDD18'!O15-'CDD20'!O15</f>
        <v>794.04199999999992</v>
      </c>
      <c r="Q15" t="s">
        <v>50</v>
      </c>
      <c r="R15">
        <f>'CDD20'!B15-'CDD26'!B15</f>
        <v>1515.2979999999998</v>
      </c>
      <c r="S15">
        <f>'CDD20'!C15-'CDD26'!C15</f>
        <v>1601.1559999999999</v>
      </c>
      <c r="T15">
        <f>'CDD20'!D15-'CDD26'!D15</f>
        <v>1476.3239999999998</v>
      </c>
      <c r="U15">
        <f>'CDD20'!E15-'CDD26'!E15</f>
        <v>1543.855</v>
      </c>
      <c r="V15">
        <f>'CDD20'!F15-'CDD26'!F15</f>
        <v>1683.672</v>
      </c>
      <c r="W15">
        <f>'CDD20'!G15-'CDD26'!G15</f>
        <v>1558.6079999999999</v>
      </c>
      <c r="X15">
        <f>'CDD20'!H15-'CDD26'!H15</f>
        <v>1536.501</v>
      </c>
      <c r="Y15">
        <f>'CDD20'!I15-'CDD26'!I15</f>
        <v>1635.0169999999998</v>
      </c>
      <c r="Z15">
        <f>'CDD20'!J15-'CDD26'!J15</f>
        <v>1578.0219999999999</v>
      </c>
      <c r="AA15">
        <f>'CDD20'!K15-'CDD26'!K15</f>
        <v>1528.3619999999999</v>
      </c>
      <c r="AB15">
        <f>'CDD20'!L15-'CDD26'!L15</f>
        <v>1519.7250000000001</v>
      </c>
      <c r="AC15">
        <f>'CDD20'!M15-'CDD26'!M15</f>
        <v>1461.933</v>
      </c>
      <c r="AD15">
        <f>'CDD20'!N15-'CDD26'!N15</f>
        <v>1724.6970000000001</v>
      </c>
      <c r="AE15">
        <f>'CDD20'!O15-'CDD26'!O15</f>
        <v>1664.1489999999999</v>
      </c>
    </row>
    <row r="16" spans="1:31" x14ac:dyDescent="0.35">
      <c r="A16" s="3" t="s">
        <v>51</v>
      </c>
      <c r="B16">
        <f>'CDD18'!B16-'CDD20'!B16</f>
        <v>687.38500000000022</v>
      </c>
      <c r="C16">
        <f>'CDD18'!C16-'CDD20'!C16</f>
        <v>708.56399999999985</v>
      </c>
      <c r="D16">
        <f>'CDD18'!D16-'CDD20'!D16</f>
        <v>716.7180000000003</v>
      </c>
      <c r="E16">
        <f>'CDD18'!E16-'CDD20'!E16</f>
        <v>719.70200000000023</v>
      </c>
      <c r="F16">
        <f>'CDD18'!F16-'CDD20'!F16</f>
        <v>702.69999999999982</v>
      </c>
      <c r="G16">
        <f>'CDD18'!G16-'CDD20'!G16</f>
        <v>710.93100000000004</v>
      </c>
      <c r="H16">
        <f>'CDD18'!H16-'CDD20'!H16</f>
        <v>711.77800000000025</v>
      </c>
      <c r="I16">
        <f>'CDD18'!I16-'CDD20'!I16</f>
        <v>716.95199999999977</v>
      </c>
      <c r="J16">
        <f>'CDD18'!J16-'CDD20'!J16</f>
        <v>717.02099999999973</v>
      </c>
      <c r="K16">
        <f>'CDD18'!K16-'CDD20'!K16</f>
        <v>710.34900000000016</v>
      </c>
      <c r="L16">
        <f>'CDD18'!L16-'CDD20'!L16</f>
        <v>695.58300000000008</v>
      </c>
      <c r="M16">
        <f>'CDD18'!M16-'CDD20'!M16</f>
        <v>681.721</v>
      </c>
      <c r="N16">
        <f>'CDD18'!N16-'CDD20'!N16</f>
        <v>700.73399999999992</v>
      </c>
      <c r="O16">
        <f>'CDD18'!O16-'CDD20'!O16</f>
        <v>707.42799999999988</v>
      </c>
      <c r="Q16" t="s">
        <v>51</v>
      </c>
      <c r="R16">
        <f>'CDD20'!B16-'CDD26'!B16</f>
        <v>1957.4449999999999</v>
      </c>
      <c r="S16">
        <f>'CDD20'!C16-'CDD26'!C16</f>
        <v>2048.5350000000003</v>
      </c>
      <c r="T16">
        <f>'CDD20'!D16-'CDD26'!D16</f>
        <v>1962.4649999999999</v>
      </c>
      <c r="U16">
        <f>'CDD20'!E16-'CDD26'!E16</f>
        <v>2023.1119999999999</v>
      </c>
      <c r="V16">
        <f>'CDD20'!F16-'CDD26'!F16</f>
        <v>2097.1610000000001</v>
      </c>
      <c r="W16">
        <f>'CDD20'!G16-'CDD26'!G16</f>
        <v>2053.7389999999996</v>
      </c>
      <c r="X16">
        <f>'CDD20'!H16-'CDD26'!H16</f>
        <v>2061.9899999999998</v>
      </c>
      <c r="Y16">
        <f>'CDD20'!I16-'CDD26'!I16</f>
        <v>2033.9</v>
      </c>
      <c r="Z16">
        <f>'CDD20'!J16-'CDD26'!J16</f>
        <v>2077.8240000000001</v>
      </c>
      <c r="AA16">
        <f>'CDD20'!K16-'CDD26'!K16</f>
        <v>2067.6489999999999</v>
      </c>
      <c r="AB16">
        <f>'CDD20'!L16-'CDD26'!L16</f>
        <v>2029.2739999999999</v>
      </c>
      <c r="AC16">
        <f>'CDD20'!M16-'CDD26'!M16</f>
        <v>2009.0559999999998</v>
      </c>
      <c r="AD16">
        <f>'CDD20'!N16-'CDD26'!N16</f>
        <v>2122.42</v>
      </c>
      <c r="AE16">
        <f>'CDD20'!O16-'CDD26'!O16</f>
        <v>2134.7539999999999</v>
      </c>
    </row>
    <row r="17" spans="1:31" x14ac:dyDescent="0.35">
      <c r="A17" s="3" t="s">
        <v>53</v>
      </c>
      <c r="B17">
        <f>'CDD18'!B17-'CDD20'!B17</f>
        <v>804.82299999999987</v>
      </c>
      <c r="C17">
        <f>'CDD18'!C17-'CDD20'!C17</f>
        <v>849.46299999999974</v>
      </c>
      <c r="D17">
        <f>'CDD18'!D17-'CDD20'!D17</f>
        <v>810.21599999999989</v>
      </c>
      <c r="E17">
        <f>'CDD18'!E17-'CDD20'!E17</f>
        <v>821.08500000000004</v>
      </c>
      <c r="F17">
        <f>'CDD18'!F17-'CDD20'!F17</f>
        <v>817.19200000000001</v>
      </c>
      <c r="G17">
        <f>'CDD18'!G17-'CDD20'!G17</f>
        <v>836.07000000000016</v>
      </c>
      <c r="H17">
        <f>'CDD18'!H17-'CDD20'!H17</f>
        <v>830.29999999999973</v>
      </c>
      <c r="I17">
        <f>'CDD18'!I17-'CDD20'!I17</f>
        <v>864.84099999999989</v>
      </c>
      <c r="J17">
        <f>'CDD18'!J17-'CDD20'!J17</f>
        <v>836.72500000000036</v>
      </c>
      <c r="K17">
        <f>'CDD18'!K17-'CDD20'!K17</f>
        <v>754.70899999999983</v>
      </c>
      <c r="L17">
        <f>'CDD18'!L17-'CDD20'!L17</f>
        <v>784.59099999999989</v>
      </c>
      <c r="M17">
        <f>'CDD18'!M17-'CDD20'!M17</f>
        <v>786.12100000000009</v>
      </c>
      <c r="N17">
        <f>'CDD18'!N17-'CDD20'!N17</f>
        <v>801.82400000000007</v>
      </c>
      <c r="O17">
        <f>'CDD18'!O17-'CDD20'!O17</f>
        <v>803.59999999999991</v>
      </c>
      <c r="Q17" t="s">
        <v>53</v>
      </c>
      <c r="R17">
        <f>'CDD20'!B17-'CDD26'!B17</f>
        <v>1555.857</v>
      </c>
      <c r="S17">
        <f>'CDD20'!C17-'CDD26'!C17</f>
        <v>1562.7110000000002</v>
      </c>
      <c r="T17">
        <f>'CDD20'!D17-'CDD26'!D17</f>
        <v>1530.4789999999998</v>
      </c>
      <c r="U17">
        <f>'CDD20'!E17-'CDD26'!E17</f>
        <v>1544.1640000000002</v>
      </c>
      <c r="V17">
        <f>'CDD20'!F17-'CDD26'!F17</f>
        <v>1723.2419999999997</v>
      </c>
      <c r="W17">
        <f>'CDD20'!G17-'CDD26'!G17</f>
        <v>1489.586</v>
      </c>
      <c r="X17">
        <f>'CDD20'!H17-'CDD26'!H17</f>
        <v>1596.2350000000001</v>
      </c>
      <c r="Y17">
        <f>'CDD20'!I17-'CDD26'!I17</f>
        <v>1620.078</v>
      </c>
      <c r="Z17">
        <f>'CDD20'!J17-'CDD26'!J17</f>
        <v>1509.9959999999999</v>
      </c>
      <c r="AA17">
        <f>'CDD20'!K17-'CDD26'!K17</f>
        <v>1571.627</v>
      </c>
      <c r="AB17">
        <f>'CDD20'!L17-'CDD26'!L17</f>
        <v>1617.6469999999999</v>
      </c>
      <c r="AC17">
        <f>'CDD20'!M17-'CDD26'!M17</f>
        <v>1429.4059999999999</v>
      </c>
      <c r="AD17">
        <f>'CDD20'!N17-'CDD26'!N17</f>
        <v>1628.5159999999998</v>
      </c>
      <c r="AE17">
        <f>'CDD20'!O17-'CDD26'!O17</f>
        <v>1627.2559999999999</v>
      </c>
    </row>
    <row r="18" spans="1:31" x14ac:dyDescent="0.35">
      <c r="A18" s="3" t="s">
        <v>55</v>
      </c>
      <c r="B18">
        <f>'CDD18'!B18-'CDD20'!B18</f>
        <v>333.8420000000001</v>
      </c>
      <c r="C18">
        <f>'CDD18'!C18-'CDD20'!C18</f>
        <v>367.41699999999992</v>
      </c>
      <c r="D18">
        <f>'CDD18'!D18-'CDD20'!D18</f>
        <v>393.30400000000009</v>
      </c>
      <c r="E18">
        <f>'CDD18'!E18-'CDD20'!E18</f>
        <v>388.61500000000001</v>
      </c>
      <c r="F18">
        <f>'CDD18'!F18-'CDD20'!F18</f>
        <v>381.51099999999997</v>
      </c>
      <c r="G18">
        <f>'CDD18'!G18-'CDD20'!G18</f>
        <v>400.58600000000001</v>
      </c>
      <c r="H18">
        <f>'CDD18'!H18-'CDD20'!H18</f>
        <v>348.36299999999983</v>
      </c>
      <c r="I18">
        <f>'CDD18'!I18-'CDD20'!I18</f>
        <v>336.88699999999994</v>
      </c>
      <c r="J18">
        <f>'CDD18'!J18-'CDD20'!J18</f>
        <v>349.51099999999997</v>
      </c>
      <c r="K18">
        <f>'CDD18'!K18-'CDD20'!K18</f>
        <v>347.21199999999999</v>
      </c>
      <c r="L18">
        <f>'CDD18'!L18-'CDD20'!L18</f>
        <v>352.29700000000003</v>
      </c>
      <c r="M18">
        <f>'CDD18'!M18-'CDD20'!M18</f>
        <v>347.43599999999992</v>
      </c>
      <c r="N18">
        <f>'CDD18'!N18-'CDD20'!N18</f>
        <v>350.09399999999982</v>
      </c>
      <c r="O18">
        <f>'CDD18'!O18-'CDD20'!O18</f>
        <v>351.61500000000001</v>
      </c>
      <c r="Q18" t="s">
        <v>55</v>
      </c>
      <c r="R18">
        <f>'CDD20'!B18-'CDD26'!B18</f>
        <v>1238.49</v>
      </c>
      <c r="S18">
        <f>'CDD20'!C18-'CDD26'!C18</f>
        <v>1243.8140000000001</v>
      </c>
      <c r="T18">
        <f>'CDD20'!D18-'CDD26'!D18</f>
        <v>1278.202</v>
      </c>
      <c r="U18">
        <f>'CDD20'!E18-'CDD26'!E18</f>
        <v>1302.4580000000001</v>
      </c>
      <c r="V18">
        <f>'CDD20'!F18-'CDD26'!F18</f>
        <v>1314.097</v>
      </c>
      <c r="W18">
        <f>'CDD20'!G18-'CDD26'!G18</f>
        <v>1391.155</v>
      </c>
      <c r="X18">
        <f>'CDD20'!H18-'CDD26'!H18</f>
        <v>1290.489</v>
      </c>
      <c r="Y18">
        <f>'CDD20'!I18-'CDD26'!I18</f>
        <v>1235.8140000000001</v>
      </c>
      <c r="Z18">
        <f>'CDD20'!J18-'CDD26'!J18</f>
        <v>1282.6390000000001</v>
      </c>
      <c r="AA18">
        <f>'CDD20'!K18-'CDD26'!K18</f>
        <v>1266.93</v>
      </c>
      <c r="AB18">
        <f>'CDD20'!L18-'CDD26'!L18</f>
        <v>1279.1699999999998</v>
      </c>
      <c r="AC18">
        <f>'CDD20'!M18-'CDD26'!M18</f>
        <v>1266.5220000000002</v>
      </c>
      <c r="AD18">
        <f>'CDD20'!N18-'CDD26'!N18</f>
        <v>1305.066</v>
      </c>
      <c r="AE18">
        <f>'CDD20'!O18-'CDD26'!O18</f>
        <v>1296.6200000000001</v>
      </c>
    </row>
    <row r="19" spans="1:31" x14ac:dyDescent="0.35">
      <c r="A19" s="3" t="s">
        <v>54</v>
      </c>
      <c r="B19">
        <f>'CDD18'!B19-'CDD20'!B19</f>
        <v>320.72699999999986</v>
      </c>
      <c r="C19">
        <f>'CDD18'!C19-'CDD20'!C19</f>
        <v>345.73200000000008</v>
      </c>
      <c r="D19">
        <f>'CDD18'!D19-'CDD20'!D19</f>
        <v>373.56499999999994</v>
      </c>
      <c r="E19">
        <f>'CDD18'!E19-'CDD20'!E19</f>
        <v>365.35199999999986</v>
      </c>
      <c r="F19">
        <f>'CDD18'!F19-'CDD20'!F19</f>
        <v>361.51900000000012</v>
      </c>
      <c r="G19">
        <f>'CDD18'!G19-'CDD20'!G19</f>
        <v>384.70600000000002</v>
      </c>
      <c r="H19">
        <f>'CDD18'!H19-'CDD20'!H19</f>
        <v>326.18099999999993</v>
      </c>
      <c r="I19">
        <f>'CDD18'!I19-'CDD20'!I19</f>
        <v>318.33200000000011</v>
      </c>
      <c r="J19">
        <f>'CDD18'!J19-'CDD20'!J19</f>
        <v>353.13999999999987</v>
      </c>
      <c r="K19">
        <f>'CDD18'!K19-'CDD20'!K19</f>
        <v>354.721</v>
      </c>
      <c r="L19">
        <f>'CDD18'!L19-'CDD20'!L19</f>
        <v>375.93100000000004</v>
      </c>
      <c r="M19">
        <f>'CDD18'!M19-'CDD20'!M19</f>
        <v>363.57100000000014</v>
      </c>
      <c r="N19">
        <f>'CDD18'!N19-'CDD20'!N19</f>
        <v>375.67100000000005</v>
      </c>
      <c r="O19">
        <f>'CDD18'!O19-'CDD20'!O19</f>
        <v>336.91600000000005</v>
      </c>
      <c r="Q19" t="s">
        <v>54</v>
      </c>
      <c r="R19">
        <f>'CDD20'!B19-'CDD26'!B19</f>
        <v>826.95600000000002</v>
      </c>
      <c r="S19">
        <f>'CDD20'!C19-'CDD26'!C19</f>
        <v>924.01400000000001</v>
      </c>
      <c r="T19">
        <f>'CDD20'!D19-'CDD26'!D19</f>
        <v>918.38300000000004</v>
      </c>
      <c r="U19">
        <f>'CDD20'!E19-'CDD26'!E19</f>
        <v>1020.0600000000001</v>
      </c>
      <c r="V19">
        <f>'CDD20'!F19-'CDD26'!F19</f>
        <v>903.149</v>
      </c>
      <c r="W19">
        <f>'CDD20'!G19-'CDD26'!G19</f>
        <v>968.84899999999993</v>
      </c>
      <c r="X19">
        <f>'CDD20'!H19-'CDD26'!H19</f>
        <v>865.34</v>
      </c>
      <c r="Y19">
        <f>'CDD20'!I19-'CDD26'!I19</f>
        <v>853.04499999999996</v>
      </c>
      <c r="Z19">
        <f>'CDD20'!J19-'CDD26'!J19</f>
        <v>992.63800000000003</v>
      </c>
      <c r="AA19">
        <f>'CDD20'!K19-'CDD26'!K19</f>
        <v>947.6450000000001</v>
      </c>
      <c r="AB19">
        <f>'CDD20'!L19-'CDD26'!L19</f>
        <v>1018.059</v>
      </c>
      <c r="AC19">
        <f>'CDD20'!M19-'CDD26'!M19</f>
        <v>942.80099999999993</v>
      </c>
      <c r="AD19">
        <f>'CDD20'!N19-'CDD26'!N19</f>
        <v>1075.174</v>
      </c>
      <c r="AE19">
        <f>'CDD20'!O19-'CDD26'!O19</f>
        <v>998.63100000000009</v>
      </c>
    </row>
    <row r="20" spans="1:31" x14ac:dyDescent="0.35">
      <c r="A20" s="3" t="s">
        <v>52</v>
      </c>
      <c r="B20">
        <f>'CDD18'!B20-'CDD20'!B20</f>
        <v>754.529</v>
      </c>
      <c r="C20">
        <f>'CDD18'!C20-'CDD20'!C20</f>
        <v>747.30199999999968</v>
      </c>
      <c r="D20">
        <f>'CDD18'!D20-'CDD20'!D20</f>
        <v>689.35300000000007</v>
      </c>
      <c r="E20">
        <f>'CDD18'!E20-'CDD20'!E20</f>
        <v>765.90599999999995</v>
      </c>
      <c r="F20">
        <f>'CDD18'!F20-'CDD20'!F20</f>
        <v>762.02200000000039</v>
      </c>
      <c r="G20">
        <f>'CDD18'!G20-'CDD20'!G20</f>
        <v>798.48199999999997</v>
      </c>
      <c r="H20">
        <f>'CDD18'!H20-'CDD20'!H20</f>
        <v>825.39600000000019</v>
      </c>
      <c r="I20">
        <f>'CDD18'!I20-'CDD20'!I20</f>
        <v>839.89699999999993</v>
      </c>
      <c r="J20">
        <f>'CDD18'!J20-'CDD20'!J20</f>
        <v>771.43799999999965</v>
      </c>
      <c r="K20">
        <f>'CDD18'!K20-'CDD20'!K20</f>
        <v>677.50500000000011</v>
      </c>
      <c r="L20">
        <f>'CDD18'!L20-'CDD20'!L20</f>
        <v>707.63799999999992</v>
      </c>
      <c r="M20">
        <f>'CDD18'!M20-'CDD20'!M20</f>
        <v>750.74200000000019</v>
      </c>
      <c r="N20">
        <f>'CDD18'!N20-'CDD20'!N20</f>
        <v>702.05400000000009</v>
      </c>
      <c r="O20">
        <f>'CDD18'!O20-'CDD20'!O20</f>
        <v>728.02999999999975</v>
      </c>
      <c r="Q20" t="s">
        <v>52</v>
      </c>
      <c r="R20">
        <f>'CDD20'!B20-'CDD26'!B20</f>
        <v>1322.682</v>
      </c>
      <c r="S20">
        <f>'CDD20'!C20-'CDD26'!C20</f>
        <v>1228.7870000000003</v>
      </c>
      <c r="T20">
        <f>'CDD20'!D20-'CDD26'!D20</f>
        <v>1298.915</v>
      </c>
      <c r="U20">
        <f>'CDD20'!E20-'CDD26'!E20</f>
        <v>1251.377</v>
      </c>
      <c r="V20">
        <f>'CDD20'!F20-'CDD26'!F20</f>
        <v>1382.5319999999997</v>
      </c>
      <c r="W20">
        <f>'CDD20'!G20-'CDD26'!G20</f>
        <v>1300.7360000000003</v>
      </c>
      <c r="X20">
        <f>'CDD20'!H20-'CDD26'!H20</f>
        <v>1343.3379999999997</v>
      </c>
      <c r="Y20">
        <f>'CDD20'!I20-'CDD26'!I20</f>
        <v>1338.2960000000003</v>
      </c>
      <c r="Z20">
        <f>'CDD20'!J20-'CDD26'!J20</f>
        <v>1216.596</v>
      </c>
      <c r="AA20">
        <f>'CDD20'!K20-'CDD26'!K20</f>
        <v>1330.511</v>
      </c>
      <c r="AB20">
        <f>'CDD20'!L20-'CDD26'!L20</f>
        <v>1381.1550000000002</v>
      </c>
      <c r="AC20">
        <f>'CDD20'!M20-'CDD26'!M20</f>
        <v>1201.57</v>
      </c>
      <c r="AD20">
        <f>'CDD20'!N20-'CDD26'!N20</f>
        <v>1387.6480000000001</v>
      </c>
      <c r="AE20">
        <f>'CDD20'!O20-'CDD26'!O20</f>
        <v>1313.6469999999999</v>
      </c>
    </row>
    <row r="21" spans="1:31" x14ac:dyDescent="0.35">
      <c r="A21" s="3" t="s">
        <v>56</v>
      </c>
      <c r="B21">
        <f>'CDD18'!B21-'CDD20'!B21</f>
        <v>441.53400000000011</v>
      </c>
      <c r="C21">
        <f>'CDD18'!C21-'CDD20'!C21</f>
        <v>449.64499999999998</v>
      </c>
      <c r="D21">
        <f>'CDD18'!D21-'CDD20'!D21</f>
        <v>483.28499999999985</v>
      </c>
      <c r="E21">
        <f>'CDD18'!E21-'CDD20'!E21</f>
        <v>448.82500000000005</v>
      </c>
      <c r="F21">
        <f>'CDD18'!F21-'CDD20'!F21</f>
        <v>439.92499999999995</v>
      </c>
      <c r="G21">
        <f>'CDD18'!G21-'CDD20'!G21</f>
        <v>448.04899999999998</v>
      </c>
      <c r="H21">
        <f>'CDD18'!H21-'CDD20'!H21</f>
        <v>412.48199999999997</v>
      </c>
      <c r="I21">
        <f>'CDD18'!I21-'CDD20'!I21</f>
        <v>397.87300000000005</v>
      </c>
      <c r="J21">
        <f>'CDD18'!J21-'CDD20'!J21</f>
        <v>412.82899999999995</v>
      </c>
      <c r="K21">
        <f>'CDD18'!K21-'CDD20'!K21</f>
        <v>415.673</v>
      </c>
      <c r="L21">
        <f>'CDD18'!L21-'CDD20'!L21</f>
        <v>455.68399999999997</v>
      </c>
      <c r="M21">
        <f>'CDD18'!M21-'CDD20'!M21</f>
        <v>424.49600000000009</v>
      </c>
      <c r="N21">
        <f>'CDD18'!N21-'CDD20'!N21</f>
        <v>459.19900000000007</v>
      </c>
      <c r="O21">
        <f>'CDD18'!O21-'CDD20'!O21</f>
        <v>418.53899999999999</v>
      </c>
      <c r="Q21" t="s">
        <v>56</v>
      </c>
      <c r="R21">
        <f>'CDD20'!B21-'CDD26'!B21</f>
        <v>1282.963</v>
      </c>
      <c r="S21">
        <f>'CDD20'!C21-'CDD26'!C21</f>
        <v>1341.6610000000001</v>
      </c>
      <c r="T21">
        <f>'CDD20'!D21-'CDD26'!D21</f>
        <v>1353.105</v>
      </c>
      <c r="U21">
        <f>'CDD20'!E21-'CDD26'!E21</f>
        <v>1383.0709999999999</v>
      </c>
      <c r="V21">
        <f>'CDD20'!F21-'CDD26'!F21</f>
        <v>1292.912</v>
      </c>
      <c r="W21">
        <f>'CDD20'!G21-'CDD26'!G21</f>
        <v>1414.107</v>
      </c>
      <c r="X21">
        <f>'CDD20'!H21-'CDD26'!H21</f>
        <v>1277.4090000000001</v>
      </c>
      <c r="Y21">
        <f>'CDD20'!I21-'CDD26'!I21</f>
        <v>1247.7180000000001</v>
      </c>
      <c r="Z21">
        <f>'CDD20'!J21-'CDD26'!J21</f>
        <v>1344.95</v>
      </c>
      <c r="AA21">
        <f>'CDD20'!K21-'CDD26'!K21</f>
        <v>1343.3430000000001</v>
      </c>
      <c r="AB21">
        <f>'CDD20'!L21-'CDD26'!L21</f>
        <v>1375.761</v>
      </c>
      <c r="AC21">
        <f>'CDD20'!M21-'CDD26'!M21</f>
        <v>1368.4469999999999</v>
      </c>
      <c r="AD21">
        <f>'CDD20'!N21-'CDD26'!N21</f>
        <v>1396.306</v>
      </c>
      <c r="AE21">
        <f>'CDD20'!O21-'CDD26'!O21</f>
        <v>1393.5429999999999</v>
      </c>
    </row>
    <row r="22" spans="1:31" x14ac:dyDescent="0.35">
      <c r="A22" s="3" t="s">
        <v>57</v>
      </c>
      <c r="B22">
        <f>'CDD18'!B22-'CDD20'!B22</f>
        <v>297.274</v>
      </c>
      <c r="C22">
        <f>'CDD18'!C22-'CDD20'!C22</f>
        <v>321.59199999999998</v>
      </c>
      <c r="D22">
        <f>'CDD18'!D22-'CDD20'!D22</f>
        <v>347.43899999999996</v>
      </c>
      <c r="E22">
        <f>'CDD18'!E22-'CDD20'!E22</f>
        <v>347.16000000000008</v>
      </c>
      <c r="F22">
        <f>'CDD18'!F22-'CDD20'!F22</f>
        <v>339.6869999999999</v>
      </c>
      <c r="G22">
        <f>'CDD18'!G22-'CDD20'!G22</f>
        <v>361.42200000000003</v>
      </c>
      <c r="H22">
        <f>'CDD18'!H22-'CDD20'!H22</f>
        <v>317.48500000000001</v>
      </c>
      <c r="I22">
        <f>'CDD18'!I22-'CDD20'!I22</f>
        <v>307.60399999999993</v>
      </c>
      <c r="J22">
        <f>'CDD18'!J22-'CDD20'!J22</f>
        <v>332.21100000000001</v>
      </c>
      <c r="K22">
        <f>'CDD18'!K22-'CDD20'!K22</f>
        <v>324.90900000000011</v>
      </c>
      <c r="L22">
        <f>'CDD18'!L22-'CDD20'!L22</f>
        <v>333.13400000000001</v>
      </c>
      <c r="M22">
        <f>'CDD18'!M22-'CDD20'!M22</f>
        <v>337.43499999999995</v>
      </c>
      <c r="N22">
        <f>'CDD18'!N22-'CDD20'!N22</f>
        <v>315.39799999999991</v>
      </c>
      <c r="O22">
        <f>'CDD18'!O22-'CDD20'!O22</f>
        <v>331.01300000000015</v>
      </c>
      <c r="Q22" t="s">
        <v>57</v>
      </c>
      <c r="R22">
        <f>'CDD20'!B22-'CDD26'!B22</f>
        <v>874.68999999999994</v>
      </c>
      <c r="S22">
        <f>'CDD20'!C22-'CDD26'!C22</f>
        <v>948.29499999999996</v>
      </c>
      <c r="T22">
        <f>'CDD20'!D22-'CDD26'!D22</f>
        <v>962.88300000000004</v>
      </c>
      <c r="U22">
        <f>'CDD20'!E22-'CDD26'!E22</f>
        <v>1053.6980000000001</v>
      </c>
      <c r="V22">
        <f>'CDD20'!F22-'CDD26'!F22</f>
        <v>980.61</v>
      </c>
      <c r="W22">
        <f>'CDD20'!G22-'CDD26'!G22</f>
        <v>1052.758</v>
      </c>
      <c r="X22">
        <f>'CDD20'!H22-'CDD26'!H22</f>
        <v>982.49699999999996</v>
      </c>
      <c r="Y22">
        <f>'CDD20'!I22-'CDD26'!I22</f>
        <v>941.96100000000001</v>
      </c>
      <c r="Z22">
        <f>'CDD20'!J22-'CDD26'!J22</f>
        <v>1020.7579999999999</v>
      </c>
      <c r="AA22">
        <f>'CDD20'!K22-'CDD26'!K22</f>
        <v>978.36399999999992</v>
      </c>
      <c r="AB22">
        <f>'CDD20'!L22-'CDD26'!L22</f>
        <v>1036.98</v>
      </c>
      <c r="AC22">
        <f>'CDD20'!M22-'CDD26'!M22</f>
        <v>988.59799999999996</v>
      </c>
      <c r="AD22">
        <f>'CDD20'!N22-'CDD26'!N22</f>
        <v>1048.675</v>
      </c>
      <c r="AE22">
        <f>'CDD20'!O22-'CDD26'!O22</f>
        <v>1071.5439999999999</v>
      </c>
    </row>
    <row r="23" spans="1:31" x14ac:dyDescent="0.35">
      <c r="A23" s="3" t="s">
        <v>58</v>
      </c>
      <c r="B23">
        <f>'CDD18'!B23-'CDD20'!B23</f>
        <v>674.25999999999976</v>
      </c>
      <c r="C23">
        <f>'CDD18'!C23-'CDD20'!C23</f>
        <v>721.39399999999978</v>
      </c>
      <c r="D23">
        <f>'CDD18'!D23-'CDD20'!D23</f>
        <v>683.60100000000011</v>
      </c>
      <c r="E23">
        <f>'CDD18'!E23-'CDD20'!E23</f>
        <v>673.3119999999999</v>
      </c>
      <c r="F23">
        <f>'CDD18'!F23-'CDD20'!F23</f>
        <v>711.5619999999999</v>
      </c>
      <c r="G23">
        <f>'CDD18'!G23-'CDD20'!G23</f>
        <v>723.01899999999978</v>
      </c>
      <c r="H23">
        <f>'CDD18'!H23-'CDD20'!H23</f>
        <v>707.49799999999959</v>
      </c>
      <c r="I23">
        <f>'CDD18'!I23-'CDD20'!I23</f>
        <v>669.72600000000011</v>
      </c>
      <c r="J23">
        <f>'CDD18'!J23-'CDD20'!J23</f>
        <v>680.98399999999992</v>
      </c>
      <c r="K23">
        <f>'CDD18'!K23-'CDD20'!K23</f>
        <v>599.38599999999997</v>
      </c>
      <c r="L23">
        <f>'CDD18'!L23-'CDD20'!L23</f>
        <v>694.78099999999995</v>
      </c>
      <c r="M23">
        <f>'CDD18'!M23-'CDD20'!M23</f>
        <v>658.33899999999994</v>
      </c>
      <c r="N23">
        <f>'CDD18'!N23-'CDD20'!N23</f>
        <v>710.01200000000017</v>
      </c>
      <c r="O23">
        <f>'CDD18'!O23-'CDD20'!O23</f>
        <v>708.62899999999991</v>
      </c>
      <c r="Q23" t="s">
        <v>58</v>
      </c>
      <c r="R23">
        <f>'CDD20'!B23-'CDD26'!B23</f>
        <v>1580.1580000000001</v>
      </c>
      <c r="S23">
        <f>'CDD20'!C23-'CDD26'!C23</f>
        <v>1540.4659999999999</v>
      </c>
      <c r="T23">
        <f>'CDD20'!D23-'CDD26'!D23</f>
        <v>1540.5280000000002</v>
      </c>
      <c r="U23">
        <f>'CDD20'!E23-'CDD26'!E23</f>
        <v>1486.761</v>
      </c>
      <c r="V23">
        <f>'CDD20'!F23-'CDD26'!F23</f>
        <v>1639.3050000000003</v>
      </c>
      <c r="W23">
        <f>'CDD20'!G23-'CDD26'!G23</f>
        <v>1574.8720000000001</v>
      </c>
      <c r="X23">
        <f>'CDD20'!H23-'CDD26'!H23</f>
        <v>1579.5880000000002</v>
      </c>
      <c r="Y23">
        <f>'CDD20'!I23-'CDD26'!I23</f>
        <v>1572.482</v>
      </c>
      <c r="Z23">
        <f>'CDD20'!J23-'CDD26'!J23</f>
        <v>1551.498</v>
      </c>
      <c r="AA23">
        <f>'CDD20'!K23-'CDD26'!K23</f>
        <v>1563.8440000000001</v>
      </c>
      <c r="AB23">
        <f>'CDD20'!L23-'CDD26'!L23</f>
        <v>1615.5610000000001</v>
      </c>
      <c r="AC23">
        <f>'CDD20'!M23-'CDD26'!M23</f>
        <v>1492.5020000000002</v>
      </c>
      <c r="AD23">
        <f>'CDD20'!N23-'CDD26'!N23</f>
        <v>1571.511</v>
      </c>
      <c r="AE23">
        <f>'CDD20'!O23-'CDD26'!O23</f>
        <v>1601.7430000000002</v>
      </c>
    </row>
    <row r="24" spans="1:31" x14ac:dyDescent="0.35">
      <c r="A24" s="3" t="s">
        <v>59</v>
      </c>
      <c r="B24">
        <f>'CDD18'!B24-'CDD20'!B24</f>
        <v>719.46100000000024</v>
      </c>
      <c r="C24">
        <f>'CDD18'!C24-'CDD20'!C24</f>
        <v>802.00900000000001</v>
      </c>
      <c r="D24">
        <f>'CDD18'!D24-'CDD20'!D24</f>
        <v>719.12300000000005</v>
      </c>
      <c r="E24">
        <f>'CDD18'!E24-'CDD20'!E24</f>
        <v>752.87300000000005</v>
      </c>
      <c r="F24">
        <f>'CDD18'!F24-'CDD20'!F24</f>
        <v>698.69300000000021</v>
      </c>
      <c r="G24">
        <f>'CDD18'!G24-'CDD20'!G24</f>
        <v>799.70299999999997</v>
      </c>
      <c r="H24">
        <f>'CDD18'!H24-'CDD20'!H24</f>
        <v>728.2529999999997</v>
      </c>
      <c r="I24">
        <f>'CDD18'!I24-'CDD20'!I24</f>
        <v>723.55400000000009</v>
      </c>
      <c r="J24">
        <f>'CDD18'!J24-'CDD20'!J24</f>
        <v>684.51800000000003</v>
      </c>
      <c r="K24">
        <f>'CDD18'!K24-'CDD20'!K24</f>
        <v>603.39500000000021</v>
      </c>
      <c r="L24">
        <f>'CDD18'!L24-'CDD20'!L24</f>
        <v>682.27799999999979</v>
      </c>
      <c r="M24">
        <f>'CDD18'!M24-'CDD20'!M24</f>
        <v>708.0949999999998</v>
      </c>
      <c r="N24">
        <f>'CDD18'!N24-'CDD20'!N24</f>
        <v>571.68900000000008</v>
      </c>
      <c r="O24">
        <f>'CDD18'!O24-'CDD20'!O24</f>
        <v>733.11599999999999</v>
      </c>
      <c r="Q24" t="s">
        <v>59</v>
      </c>
      <c r="R24">
        <f>'CDD20'!B24-'CDD26'!B24</f>
        <v>1152.5879999999997</v>
      </c>
      <c r="S24">
        <f>'CDD20'!C24-'CDD26'!C24</f>
        <v>994.65100000000007</v>
      </c>
      <c r="T24">
        <f>'CDD20'!D24-'CDD26'!D24</f>
        <v>1101.76</v>
      </c>
      <c r="U24">
        <f>'CDD20'!E24-'CDD26'!E24</f>
        <v>998.80200000000013</v>
      </c>
      <c r="V24">
        <f>'CDD20'!F24-'CDD26'!F24</f>
        <v>1103.9389999999999</v>
      </c>
      <c r="W24">
        <f>'CDD20'!G24-'CDD26'!G24</f>
        <v>1136.2249999999999</v>
      </c>
      <c r="X24">
        <f>'CDD20'!H24-'CDD26'!H24</f>
        <v>1114.4490000000001</v>
      </c>
      <c r="Y24">
        <f>'CDD20'!I24-'CDD26'!I24</f>
        <v>1140.5029999999999</v>
      </c>
      <c r="Z24">
        <f>'CDD20'!J24-'CDD26'!J24</f>
        <v>1060.4290000000001</v>
      </c>
      <c r="AA24">
        <f>'CDD20'!K24-'CDD26'!K24</f>
        <v>1117.3519999999999</v>
      </c>
      <c r="AB24">
        <f>'CDD20'!L24-'CDD26'!L24</f>
        <v>1171.9839999999999</v>
      </c>
      <c r="AC24">
        <f>'CDD20'!M24-'CDD26'!M24</f>
        <v>1141.6080000000002</v>
      </c>
      <c r="AD24">
        <f>'CDD20'!N24-'CDD26'!N24</f>
        <v>1211.2460000000001</v>
      </c>
      <c r="AE24">
        <f>'CDD20'!O24-'CDD26'!O24</f>
        <v>1161.5149999999999</v>
      </c>
    </row>
    <row r="25" spans="1:31" x14ac:dyDescent="0.35">
      <c r="A25" s="3" t="s">
        <v>73</v>
      </c>
      <c r="B25">
        <f>'CDD18'!B25-'CDD20'!B25</f>
        <v>800.77300000000014</v>
      </c>
      <c r="C25">
        <f>'CDD18'!C25-'CDD20'!C25</f>
        <v>802.19799999999987</v>
      </c>
      <c r="D25">
        <f>'CDD18'!D25-'CDD20'!D25</f>
        <v>804.97900000000027</v>
      </c>
      <c r="E25">
        <f>'CDD18'!E25-'CDD20'!E25</f>
        <v>814.64599999999973</v>
      </c>
      <c r="F25">
        <f>'CDD18'!F25-'CDD20'!F25</f>
        <v>792.53600000000006</v>
      </c>
      <c r="G25">
        <f>'CDD18'!G25-'CDD20'!G25</f>
        <v>791.33500000000004</v>
      </c>
      <c r="H25">
        <f>'CDD18'!H25-'CDD20'!H25</f>
        <v>803.97899999999981</v>
      </c>
      <c r="I25">
        <f>'CDD18'!I25-'CDD20'!I25</f>
        <v>798.25</v>
      </c>
      <c r="J25">
        <f>'CDD18'!J25-'CDD20'!J25</f>
        <v>798.89499999999998</v>
      </c>
      <c r="K25">
        <f>'CDD18'!K25-'CDD20'!K25</f>
        <v>791.41499999999996</v>
      </c>
      <c r="L25">
        <f>'CDD18'!L25-'CDD20'!L25</f>
        <v>780.50199999999995</v>
      </c>
      <c r="M25">
        <f>'CDD18'!M25-'CDD20'!M25</f>
        <v>776.20699999999988</v>
      </c>
      <c r="N25">
        <f>'CDD18'!N25-'CDD20'!N25</f>
        <v>784.9989999999998</v>
      </c>
      <c r="O25">
        <f>'CDD18'!O25-'CDD20'!O25</f>
        <v>787.00799999999981</v>
      </c>
      <c r="Q25" t="s">
        <v>73</v>
      </c>
      <c r="R25">
        <f>'CDD20'!B25-'CDD26'!B25</f>
        <v>2068.596</v>
      </c>
      <c r="S25">
        <f>'CDD20'!C25-'CDD26'!C25</f>
        <v>2083.9870000000001</v>
      </c>
      <c r="T25">
        <f>'CDD20'!D25-'CDD26'!D25</f>
        <v>2090.6039999999998</v>
      </c>
      <c r="U25">
        <f>'CDD20'!E25-'CDD26'!E25</f>
        <v>2077.172</v>
      </c>
      <c r="V25">
        <f>'CDD20'!F25-'CDD26'!F25</f>
        <v>2093.0409999999997</v>
      </c>
      <c r="W25">
        <f>'CDD20'!G25-'CDD26'!G25</f>
        <v>2110.7150000000001</v>
      </c>
      <c r="X25">
        <f>'CDD20'!H25-'CDD26'!H25</f>
        <v>2088.7920000000004</v>
      </c>
      <c r="Y25">
        <f>'CDD20'!I25-'CDD26'!I25</f>
        <v>2070.2489999999998</v>
      </c>
      <c r="Z25">
        <f>'CDD20'!J25-'CDD26'!J25</f>
        <v>2090.5920000000001</v>
      </c>
      <c r="AA25">
        <f>'CDD20'!K25-'CDD26'!K25</f>
        <v>2124.2380000000003</v>
      </c>
      <c r="AB25">
        <f>'CDD20'!L25-'CDD26'!L25</f>
        <v>2110.4409999999998</v>
      </c>
      <c r="AC25">
        <f>'CDD20'!M25-'CDD26'!M25</f>
        <v>2120.547</v>
      </c>
      <c r="AD25">
        <f>'CDD20'!N25-'CDD26'!N25</f>
        <v>2112.4679999999998</v>
      </c>
      <c r="AE25">
        <f>'CDD20'!O25-'CDD26'!O25</f>
        <v>2135.7020000000002</v>
      </c>
    </row>
    <row r="26" spans="1:31" x14ac:dyDescent="0.35">
      <c r="A26" s="3" t="s">
        <v>60</v>
      </c>
      <c r="B26">
        <f>'CDD18'!B26-'CDD20'!B26</f>
        <v>792.94599999999991</v>
      </c>
      <c r="C26">
        <f>'CDD18'!C26-'CDD20'!C26</f>
        <v>764.83699999999999</v>
      </c>
      <c r="D26">
        <f>'CDD18'!D26-'CDD20'!D26</f>
        <v>723.01699999999983</v>
      </c>
      <c r="E26">
        <f>'CDD18'!E26-'CDD20'!E26</f>
        <v>811.08699999999999</v>
      </c>
      <c r="F26">
        <f>'CDD18'!F26-'CDD20'!F26</f>
        <v>788.17999999999984</v>
      </c>
      <c r="G26">
        <f>'CDD18'!G26-'CDD20'!G26</f>
        <v>849.0590000000002</v>
      </c>
      <c r="H26">
        <f>'CDD18'!H26-'CDD20'!H26</f>
        <v>810.93299999999999</v>
      </c>
      <c r="I26">
        <f>'CDD18'!I26-'CDD20'!I26</f>
        <v>860.3130000000001</v>
      </c>
      <c r="J26">
        <f>'CDD18'!J26-'CDD20'!J26</f>
        <v>775.93199999999979</v>
      </c>
      <c r="K26">
        <f>'CDD18'!K26-'CDD20'!K26</f>
        <v>753.23799999999983</v>
      </c>
      <c r="L26">
        <f>'CDD18'!L26-'CDD20'!L26</f>
        <v>777.84700000000021</v>
      </c>
      <c r="M26">
        <f>'CDD18'!M26-'CDD20'!M26</f>
        <v>804.76499999999987</v>
      </c>
      <c r="N26">
        <f>'CDD18'!N26-'CDD20'!N26</f>
        <v>715.46799999999985</v>
      </c>
      <c r="O26">
        <f>'CDD18'!O26-'CDD20'!O26</f>
        <v>792.5590000000002</v>
      </c>
      <c r="Q26" t="s">
        <v>60</v>
      </c>
      <c r="R26">
        <f>'CDD20'!B26-'CDD26'!B26</f>
        <v>1277.67</v>
      </c>
      <c r="S26">
        <f>'CDD20'!C26-'CDD26'!C26</f>
        <v>1146.7930000000001</v>
      </c>
      <c r="T26">
        <f>'CDD20'!D26-'CDD26'!D26</f>
        <v>1245.039</v>
      </c>
      <c r="U26">
        <f>'CDD20'!E26-'CDD26'!E26</f>
        <v>1215.4409999999998</v>
      </c>
      <c r="V26">
        <f>'CDD20'!F26-'CDD26'!F26</f>
        <v>1251.519</v>
      </c>
      <c r="W26">
        <f>'CDD20'!G26-'CDD26'!G26</f>
        <v>1282.942</v>
      </c>
      <c r="X26">
        <f>'CDD20'!H26-'CDD26'!H26</f>
        <v>1253.865</v>
      </c>
      <c r="Y26">
        <f>'CDD20'!I26-'CDD26'!I26</f>
        <v>1282.9960000000001</v>
      </c>
      <c r="Z26">
        <f>'CDD20'!J26-'CDD26'!J26</f>
        <v>1186.8330000000001</v>
      </c>
      <c r="AA26">
        <f>'CDD20'!K26-'CDD26'!K26</f>
        <v>1224.4960000000001</v>
      </c>
      <c r="AB26">
        <f>'CDD20'!L26-'CDD26'!L26</f>
        <v>1306.7629999999999</v>
      </c>
      <c r="AC26">
        <f>'CDD20'!M26-'CDD26'!M26</f>
        <v>1233.5650000000001</v>
      </c>
      <c r="AD26">
        <f>'CDD20'!N26-'CDD26'!N26</f>
        <v>1410.5500000000002</v>
      </c>
      <c r="AE26">
        <f>'CDD20'!O26-'CDD26'!O26</f>
        <v>1266.635</v>
      </c>
    </row>
    <row r="27" spans="1:31" x14ac:dyDescent="0.35">
      <c r="A27" s="5" t="s">
        <v>61</v>
      </c>
      <c r="B27">
        <f>'CDD18'!B27-'CDD20'!B27</f>
        <v>-192.28700000000001</v>
      </c>
      <c r="C27">
        <f>'CDD18'!C27-'CDD20'!C27</f>
        <v>-242.44000000000003</v>
      </c>
      <c r="D27">
        <f>'CDD18'!D27-'CDD20'!D27</f>
        <v>-222.73200000000003</v>
      </c>
      <c r="E27">
        <f>'CDD18'!E27-'CDD20'!E27</f>
        <v>-247.608</v>
      </c>
      <c r="F27">
        <f>'CDD18'!F27-'CDD20'!F27</f>
        <v>-220.58</v>
      </c>
      <c r="G27">
        <f>'CDD18'!G27-'CDD20'!G27</f>
        <v>-238.99099999999999</v>
      </c>
      <c r="H27">
        <f>'CDD18'!H27-'CDD20'!H27</f>
        <v>-221.47099999999998</v>
      </c>
      <c r="I27">
        <f>'CDD18'!I27-'CDD20'!I27</f>
        <v>-197.78900000000002</v>
      </c>
      <c r="J27">
        <f>'CDD18'!J27-'CDD20'!J27</f>
        <v>-218.018</v>
      </c>
      <c r="K27">
        <f>'CDD18'!K27-'CDD20'!K27</f>
        <v>-190.399</v>
      </c>
      <c r="L27">
        <f>'CDD18'!L27-'CDD20'!L27</f>
        <v>-203.857</v>
      </c>
      <c r="M27">
        <f>'CDD18'!M27-'CDD20'!M27</f>
        <v>-207.547</v>
      </c>
      <c r="N27">
        <f>'CDD18'!N27-'CDD20'!N27</f>
        <v>-224.56200000000001</v>
      </c>
      <c r="O27">
        <f>'CDD18'!O27-'CDD20'!O27</f>
        <v>-247.24700000000001</v>
      </c>
      <c r="Q27" t="s">
        <v>61</v>
      </c>
      <c r="R27">
        <f>'CDD20'!B27-'CDD26'!B27</f>
        <v>192.28700000000001</v>
      </c>
      <c r="S27">
        <f>'CDD20'!C27-'CDD26'!C27</f>
        <v>243.86</v>
      </c>
      <c r="T27">
        <f>'CDD20'!D27-'CDD26'!D27</f>
        <v>223.49100000000001</v>
      </c>
      <c r="U27">
        <f>'CDD20'!E27-'CDD26'!E27</f>
        <v>247.68899999999999</v>
      </c>
      <c r="V27">
        <f>'CDD20'!F27-'CDD26'!F27</f>
        <v>220.58</v>
      </c>
      <c r="W27">
        <f>'CDD20'!G27-'CDD26'!G27</f>
        <v>239.154</v>
      </c>
      <c r="X27">
        <f>'CDD20'!H27-'CDD26'!H27</f>
        <v>222.03299999999999</v>
      </c>
      <c r="Y27">
        <f>'CDD20'!I27-'CDD26'!I27</f>
        <v>198.29900000000001</v>
      </c>
      <c r="Z27">
        <f>'CDD20'!J27-'CDD26'!J27</f>
        <v>219.35400000000001</v>
      </c>
      <c r="AA27">
        <f>'CDD20'!K27-'CDD26'!K27</f>
        <v>191.12799999999999</v>
      </c>
      <c r="AB27">
        <f>'CDD20'!L27-'CDD26'!L27</f>
        <v>203.86099999999999</v>
      </c>
      <c r="AC27">
        <f>'CDD20'!M27-'CDD26'!M27</f>
        <v>208.62200000000001</v>
      </c>
      <c r="AD27">
        <f>'CDD20'!N27-'CDD26'!N27</f>
        <v>226.155</v>
      </c>
      <c r="AE27">
        <f>'CDD20'!O27-'CDD26'!O27</f>
        <v>253.06200000000001</v>
      </c>
    </row>
    <row r="28" spans="1:31" x14ac:dyDescent="0.35">
      <c r="A28" s="3" t="s">
        <v>63</v>
      </c>
      <c r="B28">
        <f>'CDD18'!B28-'CDD20'!B28</f>
        <v>863.74099999999999</v>
      </c>
      <c r="C28">
        <f>'CDD18'!C28-'CDD20'!C28</f>
        <v>927.64199999999983</v>
      </c>
      <c r="D28">
        <f>'CDD18'!D28-'CDD20'!D28</f>
        <v>826.82600000000002</v>
      </c>
      <c r="E28">
        <f>'CDD18'!E28-'CDD20'!E28</f>
        <v>875.63200000000006</v>
      </c>
      <c r="F28">
        <f>'CDD18'!F28-'CDD20'!F28</f>
        <v>898.81899999999996</v>
      </c>
      <c r="G28">
        <f>'CDD18'!G28-'CDD20'!G28</f>
        <v>885.21600000000035</v>
      </c>
      <c r="H28">
        <f>'CDD18'!H28-'CDD20'!H28</f>
        <v>886.57700000000023</v>
      </c>
      <c r="I28">
        <f>'CDD18'!I28-'CDD20'!I28</f>
        <v>896.8449999999998</v>
      </c>
      <c r="J28">
        <f>'CDD18'!J28-'CDD20'!J28</f>
        <v>915.96399999999994</v>
      </c>
      <c r="K28">
        <f>'CDD18'!K28-'CDD20'!K28</f>
        <v>816.87699999999995</v>
      </c>
      <c r="L28">
        <f>'CDD18'!L28-'CDD20'!L28</f>
        <v>806.58500000000004</v>
      </c>
      <c r="M28">
        <f>'CDD18'!M28-'CDD20'!M28</f>
        <v>829.79299999999967</v>
      </c>
      <c r="N28">
        <f>'CDD18'!N28-'CDD20'!N28</f>
        <v>853.31100000000015</v>
      </c>
      <c r="O28">
        <f>'CDD18'!O28-'CDD20'!O28</f>
        <v>863.45799999999963</v>
      </c>
      <c r="Q28" t="s">
        <v>63</v>
      </c>
      <c r="R28">
        <f>'CDD20'!B28-'CDD26'!B28</f>
        <v>1633.9829999999999</v>
      </c>
      <c r="S28">
        <f>'CDD20'!C28-'CDD26'!C28</f>
        <v>1611.5820000000003</v>
      </c>
      <c r="T28">
        <f>'CDD20'!D28-'CDD26'!D28</f>
        <v>1564.4210000000003</v>
      </c>
      <c r="U28">
        <f>'CDD20'!E28-'CDD26'!E28</f>
        <v>1578.953</v>
      </c>
      <c r="V28">
        <f>'CDD20'!F28-'CDD26'!F28</f>
        <v>1779.14</v>
      </c>
      <c r="W28">
        <f>'CDD20'!G28-'CDD26'!G28</f>
        <v>1559.0039999999999</v>
      </c>
      <c r="X28">
        <f>'CDD20'!H28-'CDD26'!H28</f>
        <v>1596.0839999999998</v>
      </c>
      <c r="Y28">
        <f>'CDD20'!I28-'CDD26'!I28</f>
        <v>1697.5130000000001</v>
      </c>
      <c r="Z28">
        <f>'CDD20'!J28-'CDD26'!J28</f>
        <v>1545.001</v>
      </c>
      <c r="AA28">
        <f>'CDD20'!K28-'CDD26'!K28</f>
        <v>1601.8020000000001</v>
      </c>
      <c r="AB28">
        <f>'CDD20'!L28-'CDD26'!L28</f>
        <v>1625.288</v>
      </c>
      <c r="AC28">
        <f>'CDD20'!M28-'CDD26'!M28</f>
        <v>1522.8260000000002</v>
      </c>
      <c r="AD28">
        <f>'CDD20'!N28-'CDD26'!N28</f>
        <v>1681.769</v>
      </c>
      <c r="AE28">
        <f>'CDD20'!O28-'CDD26'!O28</f>
        <v>1718.5780000000002</v>
      </c>
    </row>
    <row r="29" spans="1:31" x14ac:dyDescent="0.35">
      <c r="A29" s="3" t="s">
        <v>62</v>
      </c>
      <c r="B29">
        <f>'CDD18'!B29-'CDD20'!B29</f>
        <v>782.43700000000035</v>
      </c>
      <c r="C29">
        <f>'CDD18'!C29-'CDD20'!C29</f>
        <v>816.11799999999994</v>
      </c>
      <c r="D29">
        <f>'CDD18'!D29-'CDD20'!D29</f>
        <v>820.18100000000004</v>
      </c>
      <c r="E29">
        <f>'CDD18'!E29-'CDD20'!E29</f>
        <v>819.30299999999988</v>
      </c>
      <c r="F29">
        <f>'CDD18'!F29-'CDD20'!F29</f>
        <v>777.68899999999985</v>
      </c>
      <c r="G29">
        <f>'CDD18'!G29-'CDD20'!G29</f>
        <v>818.66899999999987</v>
      </c>
      <c r="H29">
        <f>'CDD18'!H29-'CDD20'!H29</f>
        <v>808.76399999999967</v>
      </c>
      <c r="I29">
        <f>'CDD18'!I29-'CDD20'!I29</f>
        <v>798.21799999999985</v>
      </c>
      <c r="J29">
        <f>'CDD18'!J29-'CDD20'!J29</f>
        <v>821.99299999999994</v>
      </c>
      <c r="K29">
        <f>'CDD18'!K29-'CDD20'!K29</f>
        <v>789.70499999999993</v>
      </c>
      <c r="L29">
        <f>'CDD18'!L29-'CDD20'!L29</f>
        <v>750.64600000000019</v>
      </c>
      <c r="M29">
        <f>'CDD18'!M29-'CDD20'!M29</f>
        <v>748.66100000000006</v>
      </c>
      <c r="N29">
        <f>'CDD18'!N29-'CDD20'!N29</f>
        <v>780.125</v>
      </c>
      <c r="O29">
        <f>'CDD18'!O29-'CDD20'!O29</f>
        <v>792.40000000000009</v>
      </c>
      <c r="Q29" t="s">
        <v>62</v>
      </c>
      <c r="R29">
        <f>'CDD20'!B29-'CDD26'!B29</f>
        <v>1841.8349999999998</v>
      </c>
      <c r="S29">
        <f>'CDD20'!C29-'CDD26'!C29</f>
        <v>1909.0299999999997</v>
      </c>
      <c r="T29">
        <f>'CDD20'!D29-'CDD26'!D29</f>
        <v>1948.2430000000002</v>
      </c>
      <c r="U29">
        <f>'CDD20'!E29-'CDD26'!E29</f>
        <v>1897.2639999999999</v>
      </c>
      <c r="V29">
        <f>'CDD20'!F29-'CDD26'!F29</f>
        <v>1940.9140000000002</v>
      </c>
      <c r="W29">
        <f>'CDD20'!G29-'CDD26'!G29</f>
        <v>1955.69</v>
      </c>
      <c r="X29">
        <f>'CDD20'!H29-'CDD26'!H29</f>
        <v>1918.9580000000001</v>
      </c>
      <c r="Y29">
        <f>'CDD20'!I29-'CDD26'!I29</f>
        <v>1941.2920000000001</v>
      </c>
      <c r="Z29">
        <f>'CDD20'!J29-'CDD26'!J29</f>
        <v>1928.164</v>
      </c>
      <c r="AA29">
        <f>'CDD20'!K29-'CDD26'!K29</f>
        <v>1962.7729999999999</v>
      </c>
      <c r="AB29">
        <f>'CDD20'!L29-'CDD26'!L29</f>
        <v>1898.3240000000001</v>
      </c>
      <c r="AC29">
        <f>'CDD20'!M29-'CDD26'!M29</f>
        <v>1941.9120000000003</v>
      </c>
      <c r="AD29">
        <f>'CDD20'!N29-'CDD26'!N29</f>
        <v>1960.9699999999998</v>
      </c>
      <c r="AE29">
        <f>'CDD20'!O29-'CDD26'!O29</f>
        <v>2005.2809999999999</v>
      </c>
    </row>
    <row r="30" spans="1:31" x14ac:dyDescent="0.35">
      <c r="A30" s="3" t="s">
        <v>64</v>
      </c>
      <c r="B30">
        <f>'CDD18'!B30-'CDD20'!B30</f>
        <v>565.8299999999997</v>
      </c>
      <c r="C30">
        <f>'CDD18'!C30-'CDD20'!C30</f>
        <v>547.48500000000013</v>
      </c>
      <c r="D30">
        <f>'CDD18'!D30-'CDD20'!D30</f>
        <v>581.04100000000017</v>
      </c>
      <c r="E30">
        <f>'CDD18'!E30-'CDD20'!E30</f>
        <v>576.93899999999985</v>
      </c>
      <c r="F30">
        <f>'CDD18'!F30-'CDD20'!F30</f>
        <v>581.67399999999975</v>
      </c>
      <c r="G30">
        <f>'CDD18'!G30-'CDD20'!G30</f>
        <v>574.40099999999984</v>
      </c>
      <c r="H30">
        <f>'CDD18'!H30-'CDD20'!H30</f>
        <v>544.39100000000008</v>
      </c>
      <c r="I30">
        <f>'CDD18'!I30-'CDD20'!I30</f>
        <v>520.46000000000026</v>
      </c>
      <c r="J30">
        <f>'CDD18'!J30-'CDD20'!J30</f>
        <v>540.8760000000002</v>
      </c>
      <c r="K30">
        <f>'CDD18'!K30-'CDD20'!K30</f>
        <v>508.19399999999996</v>
      </c>
      <c r="L30">
        <f>'CDD18'!L30-'CDD20'!L30</f>
        <v>551.32600000000002</v>
      </c>
      <c r="M30">
        <f>'CDD18'!M30-'CDD20'!M30</f>
        <v>507.89300000000003</v>
      </c>
      <c r="N30">
        <f>'CDD18'!N30-'CDD20'!N30</f>
        <v>572.84799999999996</v>
      </c>
      <c r="O30">
        <f>'CDD18'!O30-'CDD20'!O30</f>
        <v>514.86499999999978</v>
      </c>
      <c r="Q30" t="s">
        <v>64</v>
      </c>
      <c r="R30">
        <f>'CDD20'!B30-'CDD26'!B30</f>
        <v>1604.2460000000001</v>
      </c>
      <c r="S30">
        <f>'CDD20'!C30-'CDD26'!C30</f>
        <v>1585.8309999999999</v>
      </c>
      <c r="T30">
        <f>'CDD20'!D30-'CDD26'!D30</f>
        <v>1619.021</v>
      </c>
      <c r="U30">
        <f>'CDD20'!E30-'CDD26'!E30</f>
        <v>1585.3720000000001</v>
      </c>
      <c r="V30">
        <f>'CDD20'!F30-'CDD26'!F30</f>
        <v>1647.643</v>
      </c>
      <c r="W30">
        <f>'CDD20'!G30-'CDD26'!G30</f>
        <v>1725.3620000000001</v>
      </c>
      <c r="X30">
        <f>'CDD20'!H30-'CDD26'!H30</f>
        <v>1614.9609999999998</v>
      </c>
      <c r="Y30">
        <f>'CDD20'!I30-'CDD26'!I30</f>
        <v>1583.26</v>
      </c>
      <c r="Z30">
        <f>'CDD20'!J30-'CDD26'!J30</f>
        <v>1614.787</v>
      </c>
      <c r="AA30">
        <f>'CDD20'!K30-'CDD26'!K30</f>
        <v>1604.0709999999999</v>
      </c>
      <c r="AB30">
        <f>'CDD20'!L30-'CDD26'!L30</f>
        <v>1587.662</v>
      </c>
      <c r="AC30">
        <f>'CDD20'!M30-'CDD26'!M30</f>
        <v>1597.5030000000002</v>
      </c>
      <c r="AD30">
        <f>'CDD20'!N30-'CDD26'!N30</f>
        <v>1646.8260000000002</v>
      </c>
      <c r="AE30">
        <f>'CDD20'!O30-'CDD26'!O30</f>
        <v>1604.624</v>
      </c>
    </row>
    <row r="31" spans="1:31" x14ac:dyDescent="0.35">
      <c r="A31" s="3" t="s">
        <v>66</v>
      </c>
      <c r="B31">
        <f>'CDD18'!B31-'CDD20'!B31</f>
        <v>702.02800000000025</v>
      </c>
      <c r="C31">
        <f>'CDD18'!C31-'CDD20'!C31</f>
        <v>783.5949999999998</v>
      </c>
      <c r="D31">
        <f>'CDD18'!D31-'CDD20'!D31</f>
        <v>652.74900000000025</v>
      </c>
      <c r="E31">
        <f>'CDD18'!E31-'CDD20'!E31</f>
        <v>782.29600000000028</v>
      </c>
      <c r="F31">
        <f>'CDD18'!F31-'CDD20'!F31</f>
        <v>808.20200000000023</v>
      </c>
      <c r="G31">
        <f>'CDD18'!G31-'CDD20'!G31</f>
        <v>797.17900000000009</v>
      </c>
      <c r="H31">
        <f>'CDD18'!H31-'CDD20'!H31</f>
        <v>800.46</v>
      </c>
      <c r="I31">
        <f>'CDD18'!I31-'CDD20'!I31</f>
        <v>783.21599999999989</v>
      </c>
      <c r="J31">
        <f>'CDD18'!J31-'CDD20'!J31</f>
        <v>769.01199999999972</v>
      </c>
      <c r="K31">
        <f>'CDD18'!K31-'CDD20'!K31</f>
        <v>652.27599999999984</v>
      </c>
      <c r="L31">
        <f>'CDD18'!L31-'CDD20'!L31</f>
        <v>672.25199999999995</v>
      </c>
      <c r="M31">
        <f>'CDD18'!M31-'CDD20'!M31</f>
        <v>755.40999999999985</v>
      </c>
      <c r="N31">
        <f>'CDD18'!N31-'CDD20'!N31</f>
        <v>722.21099999999979</v>
      </c>
      <c r="O31">
        <f>'CDD18'!O31-'CDD20'!O31</f>
        <v>767.08199999999988</v>
      </c>
      <c r="Q31" t="s">
        <v>66</v>
      </c>
      <c r="R31">
        <f>'CDD20'!B31-'CDD26'!B31</f>
        <v>1253.4309999999998</v>
      </c>
      <c r="S31">
        <f>'CDD20'!C31-'CDD26'!C31</f>
        <v>1066.5570000000002</v>
      </c>
      <c r="T31">
        <f>'CDD20'!D31-'CDD26'!D31</f>
        <v>1226.0359999999998</v>
      </c>
      <c r="U31">
        <f>'CDD20'!E31-'CDD26'!E31</f>
        <v>1130.0039999999999</v>
      </c>
      <c r="V31">
        <f>'CDD20'!F31-'CDD26'!F31</f>
        <v>1265.2619999999999</v>
      </c>
      <c r="W31">
        <f>'CDD20'!G31-'CDD26'!G31</f>
        <v>1244.0159999999998</v>
      </c>
      <c r="X31">
        <f>'CDD20'!H31-'CDD26'!H31</f>
        <v>1210.6569999999999</v>
      </c>
      <c r="Y31">
        <f>'CDD20'!I31-'CDD26'!I31</f>
        <v>1260.5880000000002</v>
      </c>
      <c r="Z31">
        <f>'CDD20'!J31-'CDD26'!J31</f>
        <v>1143.346</v>
      </c>
      <c r="AA31">
        <f>'CDD20'!K31-'CDD26'!K31</f>
        <v>1288.2800000000002</v>
      </c>
      <c r="AB31">
        <f>'CDD20'!L31-'CDD26'!L31</f>
        <v>1324.5410000000002</v>
      </c>
      <c r="AC31">
        <f>'CDD20'!M31-'CDD26'!M31</f>
        <v>1130.6490000000001</v>
      </c>
      <c r="AD31">
        <f>'CDD20'!N31-'CDD26'!N31</f>
        <v>1353.3240000000001</v>
      </c>
      <c r="AE31">
        <f>'CDD20'!O31-'CDD26'!O31</f>
        <v>1193.973</v>
      </c>
    </row>
    <row r="32" spans="1:31" x14ac:dyDescent="0.35">
      <c r="A32" s="3" t="s">
        <v>65</v>
      </c>
      <c r="B32">
        <f>'CDD18'!B32-'CDD20'!B32</f>
        <v>141.43099999999981</v>
      </c>
      <c r="C32">
        <f>'CDD18'!C32-'CDD20'!C32</f>
        <v>237.327</v>
      </c>
      <c r="D32">
        <f>'CDD18'!D32-'CDD20'!D32</f>
        <v>174.44100000000003</v>
      </c>
      <c r="E32">
        <f>'CDD18'!E32-'CDD20'!E32</f>
        <v>188.81099999999992</v>
      </c>
      <c r="F32">
        <f>'CDD18'!F32-'CDD20'!F32</f>
        <v>170.89999999999986</v>
      </c>
      <c r="G32">
        <f>'CDD18'!G32-'CDD20'!G32</f>
        <v>213.08999999999992</v>
      </c>
      <c r="H32">
        <f>'CDD18'!H32-'CDD20'!H32</f>
        <v>220.56899999999996</v>
      </c>
      <c r="I32">
        <f>'CDD18'!I32-'CDD20'!I32</f>
        <v>180.9190000000001</v>
      </c>
      <c r="J32">
        <f>'CDD18'!J32-'CDD20'!J32</f>
        <v>199.57099999999991</v>
      </c>
      <c r="K32">
        <f>'CDD18'!K32-'CDD20'!K32</f>
        <v>111.86699999999996</v>
      </c>
      <c r="L32">
        <f>'CDD18'!L32-'CDD20'!L32</f>
        <v>144.15100000000007</v>
      </c>
      <c r="M32">
        <f>'CDD18'!M32-'CDD20'!M32</f>
        <v>248.57899999999995</v>
      </c>
      <c r="N32">
        <f>'CDD18'!N32-'CDD20'!N32</f>
        <v>87.211000000000013</v>
      </c>
      <c r="O32">
        <f>'CDD18'!O32-'CDD20'!O32</f>
        <v>259.30999999999995</v>
      </c>
      <c r="Q32" t="s">
        <v>65</v>
      </c>
      <c r="R32">
        <f>'CDD20'!B32-'CDD26'!B32</f>
        <v>971.48400000000015</v>
      </c>
      <c r="S32">
        <f>'CDD20'!C32-'CDD26'!C32</f>
        <v>966.03</v>
      </c>
      <c r="T32">
        <f>'CDD20'!D32-'CDD26'!D32</f>
        <v>961.23199999999997</v>
      </c>
      <c r="U32">
        <f>'CDD20'!E32-'CDD26'!E32</f>
        <v>1014.4610000000001</v>
      </c>
      <c r="V32">
        <f>'CDD20'!F32-'CDD26'!F32</f>
        <v>1021.7050000000002</v>
      </c>
      <c r="W32">
        <f>'CDD20'!G32-'CDD26'!G32</f>
        <v>1133.838</v>
      </c>
      <c r="X32">
        <f>'CDD20'!H32-'CDD26'!H32</f>
        <v>1124.1659999999999</v>
      </c>
      <c r="Y32">
        <f>'CDD20'!I32-'CDD26'!I32</f>
        <v>1042.5809999999999</v>
      </c>
      <c r="Z32">
        <f>'CDD20'!J32-'CDD26'!J32</f>
        <v>1053.99</v>
      </c>
      <c r="AA32">
        <f>'CDD20'!K32-'CDD26'!K32</f>
        <v>1032.903</v>
      </c>
      <c r="AB32">
        <f>'CDD20'!L32-'CDD26'!L32</f>
        <v>1069.9960000000001</v>
      </c>
      <c r="AC32">
        <f>'CDD20'!M32-'CDD26'!M32</f>
        <v>1109.884</v>
      </c>
      <c r="AD32">
        <f>'CDD20'!N32-'CDD26'!N32</f>
        <v>999.1579999999999</v>
      </c>
      <c r="AE32">
        <f>'CDD20'!O32-'CDD26'!O32</f>
        <v>1065.884</v>
      </c>
    </row>
    <row r="33" spans="1:31" x14ac:dyDescent="0.35">
      <c r="A33" s="3" t="s">
        <v>67</v>
      </c>
      <c r="B33">
        <f>'CDD18'!B33-'CDD20'!B33</f>
        <v>605.61700000000019</v>
      </c>
      <c r="C33">
        <f>'CDD18'!C33-'CDD20'!C33</f>
        <v>606.13700000000017</v>
      </c>
      <c r="D33">
        <f>'CDD18'!D33-'CDD20'!D33</f>
        <v>602.84000000000015</v>
      </c>
      <c r="E33">
        <f>'CDD18'!E33-'CDD20'!E33</f>
        <v>613.36799999999994</v>
      </c>
      <c r="F33">
        <f>'CDD18'!F33-'CDD20'!F33</f>
        <v>645.40899999999965</v>
      </c>
      <c r="G33">
        <f>'CDD18'!G33-'CDD20'!G33</f>
        <v>654.8449999999998</v>
      </c>
      <c r="H33">
        <f>'CDD18'!H33-'CDD20'!H33</f>
        <v>605.66499999999996</v>
      </c>
      <c r="I33">
        <f>'CDD18'!I33-'CDD20'!I33</f>
        <v>588.74099999999999</v>
      </c>
      <c r="J33">
        <f>'CDD18'!J33-'CDD20'!J33</f>
        <v>624.24099999999999</v>
      </c>
      <c r="K33">
        <f>'CDD18'!K33-'CDD20'!K33</f>
        <v>539.56700000000001</v>
      </c>
      <c r="L33">
        <f>'CDD18'!L33-'CDD20'!L33</f>
        <v>620.66400000000021</v>
      </c>
      <c r="M33">
        <f>'CDD18'!M33-'CDD20'!M33</f>
        <v>554.15800000000036</v>
      </c>
      <c r="N33">
        <f>'CDD18'!N33-'CDD20'!N33</f>
        <v>665.83100000000013</v>
      </c>
      <c r="O33">
        <f>'CDD18'!O33-'CDD20'!O33</f>
        <v>621.80500000000029</v>
      </c>
      <c r="Q33" t="s">
        <v>67</v>
      </c>
      <c r="R33">
        <f>'CDD20'!B33-'CDD26'!B33</f>
        <v>1565.0329999999999</v>
      </c>
      <c r="S33">
        <f>'CDD20'!C33-'CDD26'!C33</f>
        <v>1409.0529999999999</v>
      </c>
      <c r="T33">
        <f>'CDD20'!D33-'CDD26'!D33</f>
        <v>1479.6010000000001</v>
      </c>
      <c r="U33">
        <f>'CDD20'!E33-'CDD26'!E33</f>
        <v>1415.9050000000002</v>
      </c>
      <c r="V33">
        <f>'CDD20'!F33-'CDD26'!F33</f>
        <v>1612.6530000000002</v>
      </c>
      <c r="W33">
        <f>'CDD20'!G33-'CDD26'!G33</f>
        <v>1580.9630000000002</v>
      </c>
      <c r="X33">
        <f>'CDD20'!H33-'CDD26'!H33</f>
        <v>1564.9770000000001</v>
      </c>
      <c r="Y33">
        <f>'CDD20'!I33-'CDD26'!I33</f>
        <v>1563.6410000000001</v>
      </c>
      <c r="Z33">
        <f>'CDD20'!J33-'CDD26'!J33</f>
        <v>1523.588</v>
      </c>
      <c r="AA33">
        <f>'CDD20'!K33-'CDD26'!K33</f>
        <v>1525.5309999999999</v>
      </c>
      <c r="AB33">
        <f>'CDD20'!L33-'CDD26'!L33</f>
        <v>1550.8989999999999</v>
      </c>
      <c r="AC33">
        <f>'CDD20'!M33-'CDD26'!M33</f>
        <v>1482.4359999999997</v>
      </c>
      <c r="AD33">
        <f>'CDD20'!N33-'CDD26'!N33</f>
        <v>1555.3139999999999</v>
      </c>
      <c r="AE33">
        <f>'CDD20'!O33-'CDD26'!O33</f>
        <v>1513.5719999999997</v>
      </c>
    </row>
    <row r="36" spans="1:31" x14ac:dyDescent="0.35">
      <c r="A36" s="14" t="s">
        <v>75</v>
      </c>
      <c r="B36" t="s">
        <v>84</v>
      </c>
    </row>
    <row r="37" spans="1:31" x14ac:dyDescent="0.35">
      <c r="A37" s="3" t="s">
        <v>39</v>
      </c>
      <c r="B37">
        <f>'CDD18'!B2-'CDD26'!B2</f>
        <v>2628.4140000000002</v>
      </c>
      <c r="C37">
        <f>'CDD18'!C2-'CDD26'!C2</f>
        <v>2649.9639999999999</v>
      </c>
      <c r="D37">
        <f>'CDD18'!D2-'CDD26'!D2</f>
        <v>2620.0370000000003</v>
      </c>
      <c r="E37">
        <f>'CDD18'!E2-'CDD26'!E2</f>
        <v>2606.306</v>
      </c>
      <c r="F37">
        <f>'CDD18'!F2-'CDD26'!F2</f>
        <v>2653.0519999999997</v>
      </c>
      <c r="G37">
        <f>'CDD18'!G2-'CDD26'!G2</f>
        <v>2697.8049999999998</v>
      </c>
      <c r="H37">
        <f>'CDD18'!H2-'CDD26'!H2</f>
        <v>2633.2599999999998</v>
      </c>
      <c r="I37">
        <f>'CDD18'!I2-'CDD26'!I2</f>
        <v>2705.6490000000003</v>
      </c>
      <c r="J37">
        <f>'CDD18'!J2-'CDD26'!J2</f>
        <v>2638.2340000000004</v>
      </c>
      <c r="K37">
        <f>'CDD18'!K2-'CDD26'!K2</f>
        <v>2645.0740000000001</v>
      </c>
      <c r="L37">
        <f>'CDD18'!L2-'CDD26'!L2</f>
        <v>2618.8389999999999</v>
      </c>
      <c r="M37">
        <f>'CDD18'!M2-'CDD26'!M2</f>
        <v>2593.5119999999997</v>
      </c>
      <c r="N37">
        <f>'CDD18'!N2-'CDD26'!N2</f>
        <v>2698.0969999999998</v>
      </c>
      <c r="O37">
        <f>'CDD18'!O2-'CDD26'!O2</f>
        <v>2733.4189999999999</v>
      </c>
    </row>
    <row r="38" spans="1:31" x14ac:dyDescent="0.35">
      <c r="A38" s="5" t="s">
        <v>40</v>
      </c>
      <c r="B38">
        <f>'CDD18'!B3-'CDD26'!B3</f>
        <v>644.30999999999995</v>
      </c>
      <c r="C38">
        <f>'CDD18'!C3-'CDD26'!C3</f>
        <v>672.745</v>
      </c>
      <c r="D38">
        <f>'CDD18'!D3-'CDD26'!D3</f>
        <v>709.10500000000002</v>
      </c>
      <c r="E38">
        <f>'CDD18'!E3-'CDD26'!E3</f>
        <v>731.67100000000005</v>
      </c>
      <c r="F38">
        <f>'CDD18'!F3-'CDD26'!F3</f>
        <v>635.01800000000003</v>
      </c>
      <c r="G38">
        <f>'CDD18'!G3-'CDD26'!G3</f>
        <v>717.83600000000001</v>
      </c>
      <c r="H38">
        <f>'CDD18'!H3-'CDD26'!H3</f>
        <v>737.57600000000002</v>
      </c>
      <c r="I38">
        <f>'CDD18'!I3-'CDD26'!I3</f>
        <v>675.51900000000001</v>
      </c>
      <c r="J38">
        <f>'CDD18'!J3-'CDD26'!J3</f>
        <v>728.46899999999994</v>
      </c>
      <c r="K38">
        <f>'CDD18'!K3-'CDD26'!K3</f>
        <v>699.81799999999998</v>
      </c>
      <c r="L38">
        <f>'CDD18'!L3-'CDD26'!L3</f>
        <v>733.32500000000005</v>
      </c>
      <c r="M38">
        <f>'CDD18'!M3-'CDD26'!M3</f>
        <v>704.88499999999999</v>
      </c>
      <c r="N38">
        <f>'CDD18'!N3-'CDD26'!N3</f>
        <v>718.49799999999993</v>
      </c>
      <c r="O38">
        <f>'CDD18'!O3-'CDD26'!O3</f>
        <v>803.20899999999995</v>
      </c>
    </row>
    <row r="39" spans="1:31" x14ac:dyDescent="0.35">
      <c r="A39" s="3" t="s">
        <v>41</v>
      </c>
      <c r="B39">
        <f>'CDD18'!B4-'CDD26'!B4</f>
        <v>1801.2839999999999</v>
      </c>
      <c r="C39">
        <f>'CDD18'!C4-'CDD26'!C4</f>
        <v>1836.9379999999999</v>
      </c>
      <c r="D39">
        <f>'CDD18'!D4-'CDD26'!D4</f>
        <v>1947.5139999999999</v>
      </c>
      <c r="E39">
        <f>'CDD18'!E4-'CDD26'!E4</f>
        <v>1930.0609999999999</v>
      </c>
      <c r="F39">
        <f>'CDD18'!F4-'CDD26'!F4</f>
        <v>1987.6219999999998</v>
      </c>
      <c r="G39">
        <f>'CDD18'!G4-'CDD26'!G4</f>
        <v>2064.3910000000001</v>
      </c>
      <c r="H39">
        <f>'CDD18'!H4-'CDD26'!H4</f>
        <v>1946.7410000000002</v>
      </c>
      <c r="I39">
        <f>'CDD18'!I4-'CDD26'!I4</f>
        <v>1870.432</v>
      </c>
      <c r="J39">
        <f>'CDD18'!J4-'CDD26'!J4</f>
        <v>1881.527</v>
      </c>
      <c r="K39">
        <f>'CDD18'!K4-'CDD26'!K4</f>
        <v>1897.0039999999999</v>
      </c>
      <c r="L39">
        <f>'CDD18'!L4-'CDD26'!L4</f>
        <v>1904.0859999999998</v>
      </c>
      <c r="M39">
        <f>'CDD18'!M4-'CDD26'!M4</f>
        <v>1881.1179999999997</v>
      </c>
      <c r="N39">
        <f>'CDD18'!N4-'CDD26'!N4</f>
        <v>1934.1779999999999</v>
      </c>
      <c r="O39">
        <f>'CDD18'!O4-'CDD26'!O4</f>
        <v>1880.6020000000001</v>
      </c>
    </row>
    <row r="40" spans="1:31" x14ac:dyDescent="0.35">
      <c r="A40" s="3" t="s">
        <v>42</v>
      </c>
      <c r="B40">
        <f>'CDD18'!B5-'CDD26'!B5</f>
        <v>2056.4669999999996</v>
      </c>
      <c r="C40">
        <f>'CDD18'!C5-'CDD26'!C5</f>
        <v>1898.0959999999998</v>
      </c>
      <c r="D40">
        <f>'CDD18'!D5-'CDD26'!D5</f>
        <v>1957.7250000000001</v>
      </c>
      <c r="E40">
        <f>'CDD18'!E5-'CDD26'!E5</f>
        <v>1923.4499999999998</v>
      </c>
      <c r="F40">
        <f>'CDD18'!F5-'CDD26'!F5</f>
        <v>2199.1889999999999</v>
      </c>
      <c r="G40">
        <f>'CDD18'!G5-'CDD26'!G5</f>
        <v>2103.4359999999997</v>
      </c>
      <c r="H40">
        <f>'CDD18'!H5-'CDD26'!H5</f>
        <v>2122.4679999999998</v>
      </c>
      <c r="I40">
        <f>'CDD18'!I5-'CDD26'!I5</f>
        <v>2184.9009999999998</v>
      </c>
      <c r="J40">
        <f>'CDD18'!J5-'CDD26'!J5</f>
        <v>2030.3620000000003</v>
      </c>
      <c r="K40">
        <f>'CDD18'!K5-'CDD26'!K5</f>
        <v>1970.2459999999999</v>
      </c>
      <c r="L40">
        <f>'CDD18'!L5-'CDD26'!L5</f>
        <v>2036.912</v>
      </c>
      <c r="M40">
        <f>'CDD18'!M5-'CDD26'!M5</f>
        <v>1971.1239999999998</v>
      </c>
      <c r="N40">
        <f>'CDD18'!N5-'CDD26'!N5</f>
        <v>2165.058</v>
      </c>
      <c r="O40">
        <f>'CDD18'!O5-'CDD26'!O5</f>
        <v>2068.0879999999997</v>
      </c>
    </row>
    <row r="41" spans="1:31" x14ac:dyDescent="0.35">
      <c r="A41" s="3" t="s">
        <v>69</v>
      </c>
      <c r="B41">
        <f>'CDD18'!B6-'CDD26'!B6</f>
        <v>1626.154</v>
      </c>
      <c r="C41">
        <f>'CDD18'!C6-'CDD26'!C6</f>
        <v>1676.646</v>
      </c>
      <c r="D41">
        <f>'CDD18'!D6-'CDD26'!D6</f>
        <v>1678.886</v>
      </c>
      <c r="E41">
        <f>'CDD18'!E6-'CDD26'!E6</f>
        <v>1650.73</v>
      </c>
      <c r="F41">
        <f>'CDD18'!F6-'CDD26'!F6</f>
        <v>1712.2130000000002</v>
      </c>
      <c r="G41">
        <f>'CDD18'!G6-'CDD26'!G6</f>
        <v>1824.3450000000003</v>
      </c>
      <c r="H41">
        <f>'CDD18'!H6-'CDD26'!H6</f>
        <v>1717.8450000000003</v>
      </c>
      <c r="I41">
        <f>'CDD18'!I6-'CDD26'!I6</f>
        <v>1666.0119999999999</v>
      </c>
      <c r="J41">
        <f>'CDD18'!J6-'CDD26'!J6</f>
        <v>1605.8490000000002</v>
      </c>
      <c r="K41">
        <f>'CDD18'!K6-'CDD26'!K6</f>
        <v>1628.6059999999998</v>
      </c>
      <c r="L41">
        <f>'CDD18'!L6-'CDD26'!L6</f>
        <v>1729.0750000000003</v>
      </c>
      <c r="M41">
        <f>'CDD18'!M6-'CDD26'!M6</f>
        <v>1726.0439999999999</v>
      </c>
      <c r="N41">
        <f>'CDD18'!N6-'CDD26'!N6</f>
        <v>1593.7860000000001</v>
      </c>
      <c r="O41">
        <f>'CDD18'!O6-'CDD26'!O6</f>
        <v>1748.56</v>
      </c>
    </row>
    <row r="42" spans="1:31" x14ac:dyDescent="0.35">
      <c r="A42" s="3" t="s">
        <v>43</v>
      </c>
      <c r="B42">
        <f>'CDD18'!B7-'CDD26'!B7</f>
        <v>2043.3240000000001</v>
      </c>
      <c r="C42">
        <f>'CDD18'!C7-'CDD26'!C7</f>
        <v>2020.2329999999997</v>
      </c>
      <c r="D42">
        <f>'CDD18'!D7-'CDD26'!D7</f>
        <v>2009.0969999999998</v>
      </c>
      <c r="E42">
        <f>'CDD18'!E7-'CDD26'!E7</f>
        <v>1937.6280000000002</v>
      </c>
      <c r="F42">
        <f>'CDD18'!F7-'CDD26'!F7</f>
        <v>2157.5340000000001</v>
      </c>
      <c r="G42">
        <f>'CDD18'!G7-'CDD26'!G7</f>
        <v>2118.3040000000001</v>
      </c>
      <c r="H42">
        <f>'CDD18'!H7-'CDD26'!H7</f>
        <v>2124.8849999999998</v>
      </c>
      <c r="I42">
        <f>'CDD18'!I7-'CDD26'!I7</f>
        <v>2134.5249999999996</v>
      </c>
      <c r="J42">
        <f>'CDD18'!J7-'CDD26'!J7</f>
        <v>2038.3930000000003</v>
      </c>
      <c r="K42">
        <f>'CDD18'!K7-'CDD26'!K7</f>
        <v>1963.434</v>
      </c>
      <c r="L42">
        <f>'CDD18'!L7-'CDD26'!L7</f>
        <v>2102.3689999999997</v>
      </c>
      <c r="M42">
        <f>'CDD18'!M7-'CDD26'!M7</f>
        <v>1936.9370000000004</v>
      </c>
      <c r="N42">
        <f>'CDD18'!N7-'CDD26'!N7</f>
        <v>2065.3779999999997</v>
      </c>
      <c r="O42">
        <f>'CDD18'!O7-'CDD26'!O7</f>
        <v>2102.3319999999999</v>
      </c>
    </row>
    <row r="43" spans="1:31" x14ac:dyDescent="0.35">
      <c r="A43" s="3" t="s">
        <v>44</v>
      </c>
      <c r="B43">
        <f>'CDD18'!B8-'CDD26'!B8</f>
        <v>1906.0810000000001</v>
      </c>
      <c r="C43">
        <f>'CDD18'!C8-'CDD26'!C8</f>
        <v>1839.1989999999998</v>
      </c>
      <c r="D43">
        <f>'CDD18'!D8-'CDD26'!D8</f>
        <v>1819.1310000000001</v>
      </c>
      <c r="E43">
        <f>'CDD18'!E8-'CDD26'!E8</f>
        <v>1867.5820000000001</v>
      </c>
      <c r="F43">
        <f>'CDD18'!F8-'CDD26'!F8</f>
        <v>1924.0869999999998</v>
      </c>
      <c r="G43">
        <f>'CDD18'!G8-'CDD26'!G8</f>
        <v>2024.1220000000003</v>
      </c>
      <c r="H43">
        <f>'CDD18'!H8-'CDD26'!H8</f>
        <v>1911.462</v>
      </c>
      <c r="I43">
        <f>'CDD18'!I8-'CDD26'!I8</f>
        <v>1957.4750000000001</v>
      </c>
      <c r="J43">
        <f>'CDD18'!J8-'CDD26'!J8</f>
        <v>1877.9119999999998</v>
      </c>
      <c r="K43">
        <f>'CDD18'!K8-'CDD26'!K8</f>
        <v>1849.4490000000001</v>
      </c>
      <c r="L43">
        <f>'CDD18'!L8-'CDD26'!L8</f>
        <v>1911.4069999999999</v>
      </c>
      <c r="M43">
        <f>'CDD18'!M8-'CDD26'!M8</f>
        <v>1854.9930000000002</v>
      </c>
      <c r="N43">
        <f>'CDD18'!N8-'CDD26'!N8</f>
        <v>1948.5549999999998</v>
      </c>
      <c r="O43">
        <f>'CDD18'!O8-'CDD26'!O8</f>
        <v>1939.2060000000001</v>
      </c>
    </row>
    <row r="44" spans="1:31" x14ac:dyDescent="0.35">
      <c r="A44" s="3" t="s">
        <v>45</v>
      </c>
      <c r="B44">
        <f>'CDD18'!B9-'CDD26'!B9</f>
        <v>2845.0990000000002</v>
      </c>
      <c r="C44">
        <f>'CDD18'!C9-'CDD26'!C9</f>
        <v>2877.6309999999999</v>
      </c>
      <c r="D44">
        <f>'CDD18'!D9-'CDD26'!D9</f>
        <v>2859.4740000000002</v>
      </c>
      <c r="E44">
        <f>'CDD18'!E9-'CDD26'!E9</f>
        <v>2871.1880000000001</v>
      </c>
      <c r="F44">
        <f>'CDD18'!F9-'CDD26'!F9</f>
        <v>2883.79</v>
      </c>
      <c r="G44">
        <f>'CDD18'!G9-'CDD26'!G9</f>
        <v>2851.047</v>
      </c>
      <c r="H44">
        <f>'CDD18'!H9-'CDD26'!H9</f>
        <v>2866.7129999999997</v>
      </c>
      <c r="I44">
        <f>'CDD18'!I9-'CDD26'!I9</f>
        <v>2872.7530000000002</v>
      </c>
      <c r="J44">
        <f>'CDD18'!J9-'CDD26'!J9</f>
        <v>2896.0969999999998</v>
      </c>
      <c r="K44">
        <f>'CDD18'!K9-'CDD26'!K9</f>
        <v>2877.9029999999998</v>
      </c>
      <c r="L44">
        <f>'CDD18'!L9-'CDD26'!L9</f>
        <v>2884.482</v>
      </c>
      <c r="M44">
        <f>'CDD18'!M9-'CDD26'!M9</f>
        <v>2829.3629999999998</v>
      </c>
      <c r="N44">
        <f>'CDD18'!N9-'CDD26'!N9</f>
        <v>2907.0909999999999</v>
      </c>
      <c r="O44">
        <f>'CDD18'!O9-'CDD26'!O9</f>
        <v>2898.5630000000001</v>
      </c>
    </row>
    <row r="45" spans="1:31" x14ac:dyDescent="0.35">
      <c r="A45" s="3" t="s">
        <v>46</v>
      </c>
      <c r="B45">
        <f>'CDD18'!B10-'CDD26'!B10</f>
        <v>2455.683</v>
      </c>
      <c r="C45">
        <f>'CDD18'!C10-'CDD26'!C10</f>
        <v>2388.875</v>
      </c>
      <c r="D45">
        <f>'CDD18'!D10-'CDD26'!D10</f>
        <v>2381.9740000000002</v>
      </c>
      <c r="E45">
        <f>'CDD18'!E10-'CDD26'!E10</f>
        <v>2426.069</v>
      </c>
      <c r="F45">
        <f>'CDD18'!F10-'CDD26'!F10</f>
        <v>2507.9560000000001</v>
      </c>
      <c r="G45">
        <f>'CDD18'!G10-'CDD26'!G10</f>
        <v>2559.34</v>
      </c>
      <c r="H45">
        <f>'CDD18'!H10-'CDD26'!H10</f>
        <v>2494.3069999999998</v>
      </c>
      <c r="I45">
        <f>'CDD18'!I10-'CDD26'!I10</f>
        <v>2584.7669999999998</v>
      </c>
      <c r="J45">
        <f>'CDD18'!J10-'CDD26'!J10</f>
        <v>2349.8430000000003</v>
      </c>
      <c r="K45">
        <f>'CDD18'!K10-'CDD26'!K10</f>
        <v>2305.7820000000002</v>
      </c>
      <c r="L45">
        <f>'CDD18'!L10-'CDD26'!L10</f>
        <v>2414.9569999999999</v>
      </c>
      <c r="M45">
        <f>'CDD18'!M10-'CDD26'!M10</f>
        <v>2422.5079999999998</v>
      </c>
      <c r="N45">
        <f>'CDD18'!N10-'CDD26'!N10</f>
        <v>2506.5680000000002</v>
      </c>
      <c r="O45">
        <f>'CDD18'!O10-'CDD26'!O10</f>
        <v>2399.6880000000001</v>
      </c>
    </row>
    <row r="46" spans="1:31" x14ac:dyDescent="0.35">
      <c r="A46" s="5" t="s">
        <v>48</v>
      </c>
      <c r="B46">
        <f>'CDD18'!B11-'CDD26'!B11</f>
        <v>736.17700000000002</v>
      </c>
      <c r="C46">
        <f>'CDD18'!C11-'CDD26'!C11</f>
        <v>834.5</v>
      </c>
      <c r="D46">
        <f>'CDD18'!D11-'CDD26'!D11</f>
        <v>754.92399999999998</v>
      </c>
      <c r="E46">
        <f>'CDD18'!E11-'CDD26'!E11</f>
        <v>808.67200000000003</v>
      </c>
      <c r="F46">
        <f>'CDD18'!F11-'CDD26'!F11</f>
        <v>750.37900000000002</v>
      </c>
      <c r="G46">
        <f>'CDD18'!G11-'CDD26'!G11</f>
        <v>865.46</v>
      </c>
      <c r="H46">
        <f>'CDD18'!H11-'CDD26'!H11</f>
        <v>807.99199999999996</v>
      </c>
      <c r="I46">
        <f>'CDD18'!I11-'CDD26'!I11</f>
        <v>747.11500000000001</v>
      </c>
      <c r="J46">
        <f>'CDD18'!J11-'CDD26'!J11</f>
        <v>761.20699999999999</v>
      </c>
      <c r="K46">
        <f>'CDD18'!K11-'CDD26'!K11</f>
        <v>662.97699999999998</v>
      </c>
      <c r="L46">
        <f>'CDD18'!L11-'CDD26'!L11</f>
        <v>694.36500000000001</v>
      </c>
      <c r="M46">
        <f>'CDD18'!M11-'CDD26'!M11</f>
        <v>840.13499999999999</v>
      </c>
      <c r="N46">
        <f>'CDD18'!N11-'CDD26'!N11</f>
        <v>565.48599999999999</v>
      </c>
      <c r="O46">
        <f>'CDD18'!O11-'CDD26'!O11</f>
        <v>855.14899999999989</v>
      </c>
    </row>
    <row r="47" spans="1:31" x14ac:dyDescent="0.35">
      <c r="A47" s="3" t="s">
        <v>47</v>
      </c>
      <c r="B47">
        <f>'CDD18'!B12-'CDD26'!B12</f>
        <v>1897.6069999999997</v>
      </c>
      <c r="C47">
        <f>'CDD18'!C12-'CDD26'!C12</f>
        <v>1827.8380000000002</v>
      </c>
      <c r="D47">
        <f>'CDD18'!D12-'CDD26'!D12</f>
        <v>1831.2440000000001</v>
      </c>
      <c r="E47">
        <f>'CDD18'!E12-'CDD26'!E12</f>
        <v>1844.452</v>
      </c>
      <c r="F47">
        <f>'CDD18'!F12-'CDD26'!F12</f>
        <v>1891.2539999999999</v>
      </c>
      <c r="G47">
        <f>'CDD18'!G12-'CDD26'!G12</f>
        <v>2000.6740000000002</v>
      </c>
      <c r="H47">
        <f>'CDD18'!H12-'CDD26'!H12</f>
        <v>1891.7909999999997</v>
      </c>
      <c r="I47">
        <f>'CDD18'!I12-'CDD26'!I12</f>
        <v>1929.0589999999997</v>
      </c>
      <c r="J47">
        <f>'CDD18'!J12-'CDD26'!J12</f>
        <v>1836.3130000000001</v>
      </c>
      <c r="K47">
        <f>'CDD18'!K12-'CDD26'!K12</f>
        <v>1814.5729999999999</v>
      </c>
      <c r="L47">
        <f>'CDD18'!L12-'CDD26'!L12</f>
        <v>1911.346</v>
      </c>
      <c r="M47">
        <f>'CDD18'!M12-'CDD26'!M12</f>
        <v>1857.2270000000001</v>
      </c>
      <c r="N47">
        <f>'CDD18'!N12-'CDD26'!N12</f>
        <v>1905.5219999999999</v>
      </c>
      <c r="O47">
        <f>'CDD18'!O12-'CDD26'!O12</f>
        <v>1939.9979999999998</v>
      </c>
    </row>
    <row r="48" spans="1:31" x14ac:dyDescent="0.35">
      <c r="A48" s="3" t="s">
        <v>49</v>
      </c>
      <c r="B48">
        <f>'CDD18'!B13-'CDD26'!B13</f>
        <v>2026.2750000000001</v>
      </c>
      <c r="C48">
        <f>'CDD18'!C13-'CDD26'!C13</f>
        <v>1858.7919999999999</v>
      </c>
      <c r="D48">
        <f>'CDD18'!D13-'CDD26'!D13</f>
        <v>1916.348</v>
      </c>
      <c r="E48">
        <f>'CDD18'!E13-'CDD26'!E13</f>
        <v>1886.5860000000002</v>
      </c>
      <c r="F48">
        <f>'CDD18'!F13-'CDD26'!F13</f>
        <v>2115.0630000000001</v>
      </c>
      <c r="G48">
        <f>'CDD18'!G13-'CDD26'!G13</f>
        <v>2068.4269999999997</v>
      </c>
      <c r="H48">
        <f>'CDD18'!H13-'CDD26'!H13</f>
        <v>2048.864</v>
      </c>
      <c r="I48">
        <f>'CDD18'!I13-'CDD26'!I13</f>
        <v>2064.9650000000001</v>
      </c>
      <c r="J48">
        <f>'CDD18'!J13-'CDD26'!J13</f>
        <v>1961.404</v>
      </c>
      <c r="K48">
        <f>'CDD18'!K13-'CDD26'!K13</f>
        <v>1925.7630000000001</v>
      </c>
      <c r="L48">
        <f>'CDD18'!L13-'CDD26'!L13</f>
        <v>2034.5320000000002</v>
      </c>
      <c r="M48">
        <f>'CDD18'!M13-'CDD26'!M13</f>
        <v>1913.8130000000001</v>
      </c>
      <c r="N48">
        <f>'CDD18'!N13-'CDD26'!N13</f>
        <v>2068.1570000000002</v>
      </c>
      <c r="O48">
        <f>'CDD18'!O13-'CDD26'!O13</f>
        <v>2003.2280000000001</v>
      </c>
    </row>
    <row r="49" spans="1:15" x14ac:dyDescent="0.35">
      <c r="A49" s="5" t="s">
        <v>71</v>
      </c>
      <c r="B49">
        <f>'CDD18'!B14-'CDD26'!B14</f>
        <v>360.12099999999998</v>
      </c>
      <c r="C49">
        <f>'CDD18'!C14-'CDD26'!C14</f>
        <v>400.40100000000001</v>
      </c>
      <c r="D49">
        <f>'CDD18'!D14-'CDD26'!D14</f>
        <v>372.11200000000002</v>
      </c>
      <c r="E49">
        <f>'CDD18'!E14-'CDD26'!E14</f>
        <v>356.6</v>
      </c>
      <c r="F49">
        <f>'CDD18'!F14-'CDD26'!F14</f>
        <v>235.666</v>
      </c>
      <c r="G49">
        <f>'CDD18'!G14-'CDD26'!G14</f>
        <v>357.38099999999997</v>
      </c>
      <c r="H49">
        <f>'CDD18'!H14-'CDD26'!H14</f>
        <v>285.56599999999997</v>
      </c>
      <c r="I49">
        <f>'CDD18'!I14-'CDD26'!I14</f>
        <v>303.69099999999997</v>
      </c>
      <c r="J49">
        <f>'CDD18'!J14-'CDD26'!J14</f>
        <v>275.88299999999998</v>
      </c>
      <c r="K49">
        <f>'CDD18'!K14-'CDD26'!K14</f>
        <v>231.65799999999999</v>
      </c>
      <c r="L49">
        <f>'CDD18'!L14-'CDD26'!L14</f>
        <v>274.03500000000003</v>
      </c>
      <c r="M49">
        <f>'CDD18'!M14-'CDD26'!M14</f>
        <v>288.892</v>
      </c>
      <c r="N49">
        <f>'CDD18'!N14-'CDD26'!N14</f>
        <v>226.25299999999999</v>
      </c>
      <c r="O49">
        <f>'CDD18'!O14-'CDD26'!O14</f>
        <v>395.81900000000002</v>
      </c>
    </row>
    <row r="50" spans="1:15" x14ac:dyDescent="0.35">
      <c r="A50" s="3" t="s">
        <v>50</v>
      </c>
      <c r="B50">
        <f>'CDD18'!B15-'CDD26'!B15</f>
        <v>2259.1770000000001</v>
      </c>
      <c r="C50">
        <f>'CDD18'!C15-'CDD26'!C15</f>
        <v>2397.6349999999998</v>
      </c>
      <c r="D50">
        <f>'CDD18'!D15-'CDD26'!D15</f>
        <v>2236.6759999999999</v>
      </c>
      <c r="E50">
        <f>'CDD18'!E15-'CDD26'!E15</f>
        <v>2304.5479999999998</v>
      </c>
      <c r="F50">
        <f>'CDD18'!F15-'CDD26'!F15</f>
        <v>2442.4549999999999</v>
      </c>
      <c r="G50">
        <f>'CDD18'!G15-'CDD26'!G15</f>
        <v>2361.2669999999998</v>
      </c>
      <c r="H50">
        <f>'CDD18'!H15-'CDD26'!H15</f>
        <v>2300.4499999999998</v>
      </c>
      <c r="I50">
        <f>'CDD18'!I15-'CDD26'!I15</f>
        <v>2425.2549999999997</v>
      </c>
      <c r="J50">
        <f>'CDD18'!J15-'CDD26'!J15</f>
        <v>2387.9540000000002</v>
      </c>
      <c r="K50">
        <f>'CDD18'!K15-'CDD26'!K15</f>
        <v>2278.027</v>
      </c>
      <c r="L50">
        <f>'CDD18'!L15-'CDD26'!L15</f>
        <v>2246.5749999999998</v>
      </c>
      <c r="M50">
        <f>'CDD18'!M15-'CDD26'!M15</f>
        <v>2179.942</v>
      </c>
      <c r="N50">
        <f>'CDD18'!N15-'CDD26'!N15</f>
        <v>2496.4079999999999</v>
      </c>
      <c r="O50">
        <f>'CDD18'!O15-'CDD26'!O15</f>
        <v>2458.1909999999998</v>
      </c>
    </row>
    <row r="51" spans="1:15" x14ac:dyDescent="0.35">
      <c r="A51" s="3" t="s">
        <v>51</v>
      </c>
      <c r="B51">
        <f>'CDD18'!B16-'CDD26'!B16</f>
        <v>2644.83</v>
      </c>
      <c r="C51">
        <f>'CDD18'!C16-'CDD26'!C16</f>
        <v>2757.0990000000002</v>
      </c>
      <c r="D51">
        <f>'CDD18'!D16-'CDD26'!D16</f>
        <v>2679.183</v>
      </c>
      <c r="E51">
        <f>'CDD18'!E16-'CDD26'!E16</f>
        <v>2742.8139999999999</v>
      </c>
      <c r="F51">
        <f>'CDD18'!F16-'CDD26'!F16</f>
        <v>2799.8609999999999</v>
      </c>
      <c r="G51">
        <f>'CDD18'!G16-'CDD26'!G16</f>
        <v>2764.67</v>
      </c>
      <c r="H51">
        <f>'CDD18'!H16-'CDD26'!H16</f>
        <v>2773.768</v>
      </c>
      <c r="I51">
        <f>'CDD18'!I16-'CDD26'!I16</f>
        <v>2750.8519999999999</v>
      </c>
      <c r="J51">
        <f>'CDD18'!J16-'CDD26'!J16</f>
        <v>2794.8449999999998</v>
      </c>
      <c r="K51">
        <f>'CDD18'!K16-'CDD26'!K16</f>
        <v>2777.998</v>
      </c>
      <c r="L51">
        <f>'CDD18'!L16-'CDD26'!L16</f>
        <v>2724.857</v>
      </c>
      <c r="M51">
        <f>'CDD18'!M16-'CDD26'!M16</f>
        <v>2690.777</v>
      </c>
      <c r="N51">
        <f>'CDD18'!N16-'CDD26'!N16</f>
        <v>2823.154</v>
      </c>
      <c r="O51">
        <f>'CDD18'!O16-'CDD26'!O16</f>
        <v>2842.1819999999998</v>
      </c>
    </row>
    <row r="52" spans="1:15" x14ac:dyDescent="0.35">
      <c r="A52" s="3" t="s">
        <v>53</v>
      </c>
      <c r="B52">
        <f>'CDD18'!B17-'CDD26'!B17</f>
        <v>2360.6799999999998</v>
      </c>
      <c r="C52">
        <f>'CDD18'!C17-'CDD26'!C17</f>
        <v>2412.174</v>
      </c>
      <c r="D52">
        <f>'CDD18'!D17-'CDD26'!D17</f>
        <v>2340.6949999999997</v>
      </c>
      <c r="E52">
        <f>'CDD18'!E17-'CDD26'!E17</f>
        <v>2365.2490000000003</v>
      </c>
      <c r="F52">
        <f>'CDD18'!F17-'CDD26'!F17</f>
        <v>2540.4339999999997</v>
      </c>
      <c r="G52">
        <f>'CDD18'!G17-'CDD26'!G17</f>
        <v>2325.6559999999999</v>
      </c>
      <c r="H52">
        <f>'CDD18'!H17-'CDD26'!H17</f>
        <v>2426.5349999999999</v>
      </c>
      <c r="I52">
        <f>'CDD18'!I17-'CDD26'!I17</f>
        <v>2484.9189999999999</v>
      </c>
      <c r="J52">
        <f>'CDD18'!J17-'CDD26'!J17</f>
        <v>2346.7210000000005</v>
      </c>
      <c r="K52">
        <f>'CDD18'!K17-'CDD26'!K17</f>
        <v>2326.3359999999998</v>
      </c>
      <c r="L52">
        <f>'CDD18'!L17-'CDD26'!L17</f>
        <v>2402.2379999999998</v>
      </c>
      <c r="M52">
        <f>'CDD18'!M17-'CDD26'!M17</f>
        <v>2215.527</v>
      </c>
      <c r="N52">
        <f>'CDD18'!N17-'CDD26'!N17</f>
        <v>2430.34</v>
      </c>
      <c r="O52">
        <f>'CDD18'!O17-'CDD26'!O17</f>
        <v>2430.8559999999998</v>
      </c>
    </row>
    <row r="53" spans="1:15" x14ac:dyDescent="0.35">
      <c r="A53" s="3" t="s">
        <v>55</v>
      </c>
      <c r="B53">
        <f>'CDD18'!B18-'CDD26'!B18</f>
        <v>1572.3320000000001</v>
      </c>
      <c r="C53">
        <f>'CDD18'!C18-'CDD26'!C18</f>
        <v>1611.231</v>
      </c>
      <c r="D53">
        <f>'CDD18'!D18-'CDD26'!D18</f>
        <v>1671.5060000000001</v>
      </c>
      <c r="E53">
        <f>'CDD18'!E18-'CDD26'!E18</f>
        <v>1691.0730000000001</v>
      </c>
      <c r="F53">
        <f>'CDD18'!F18-'CDD26'!F18</f>
        <v>1695.6079999999999</v>
      </c>
      <c r="G53">
        <f>'CDD18'!G18-'CDD26'!G18</f>
        <v>1791.741</v>
      </c>
      <c r="H53">
        <f>'CDD18'!H18-'CDD26'!H18</f>
        <v>1638.8519999999999</v>
      </c>
      <c r="I53">
        <f>'CDD18'!I18-'CDD26'!I18</f>
        <v>1572.701</v>
      </c>
      <c r="J53">
        <f>'CDD18'!J18-'CDD26'!J18</f>
        <v>1632.15</v>
      </c>
      <c r="K53">
        <f>'CDD18'!K18-'CDD26'!K18</f>
        <v>1614.1420000000001</v>
      </c>
      <c r="L53">
        <f>'CDD18'!L18-'CDD26'!L18</f>
        <v>1631.4669999999999</v>
      </c>
      <c r="M53">
        <f>'CDD18'!M18-'CDD26'!M18</f>
        <v>1613.9580000000001</v>
      </c>
      <c r="N53">
        <f>'CDD18'!N18-'CDD26'!N18</f>
        <v>1655.1599999999999</v>
      </c>
      <c r="O53">
        <f>'CDD18'!O18-'CDD26'!O18</f>
        <v>1648.2350000000001</v>
      </c>
    </row>
    <row r="54" spans="1:15" x14ac:dyDescent="0.35">
      <c r="A54" s="3" t="s">
        <v>54</v>
      </c>
      <c r="B54">
        <f>'CDD18'!B19-'CDD26'!B19</f>
        <v>1147.683</v>
      </c>
      <c r="C54">
        <f>'CDD18'!C19-'CDD26'!C19</f>
        <v>1269.7460000000001</v>
      </c>
      <c r="D54">
        <f>'CDD18'!D19-'CDD26'!D19</f>
        <v>1291.9479999999999</v>
      </c>
      <c r="E54">
        <f>'CDD18'!E19-'CDD26'!E19</f>
        <v>1385.412</v>
      </c>
      <c r="F54">
        <f>'CDD18'!F19-'CDD26'!F19</f>
        <v>1264.6680000000001</v>
      </c>
      <c r="G54">
        <f>'CDD18'!G19-'CDD26'!G19</f>
        <v>1353.5550000000001</v>
      </c>
      <c r="H54">
        <f>'CDD18'!H19-'CDD26'!H19</f>
        <v>1191.521</v>
      </c>
      <c r="I54">
        <f>'CDD18'!I19-'CDD26'!I19</f>
        <v>1171.377</v>
      </c>
      <c r="J54">
        <f>'CDD18'!J19-'CDD26'!J19</f>
        <v>1345.778</v>
      </c>
      <c r="K54">
        <f>'CDD18'!K19-'CDD26'!K19</f>
        <v>1302.366</v>
      </c>
      <c r="L54">
        <f>'CDD18'!L19-'CDD26'!L19</f>
        <v>1393.99</v>
      </c>
      <c r="M54">
        <f>'CDD18'!M19-'CDD26'!M19</f>
        <v>1306.3720000000001</v>
      </c>
      <c r="N54">
        <f>'CDD18'!N19-'CDD26'!N19</f>
        <v>1450.845</v>
      </c>
      <c r="O54">
        <f>'CDD18'!O19-'CDD26'!O19</f>
        <v>1335.547</v>
      </c>
    </row>
    <row r="55" spans="1:15" x14ac:dyDescent="0.35">
      <c r="A55" s="3" t="s">
        <v>52</v>
      </c>
      <c r="B55">
        <f>'CDD18'!B20-'CDD26'!B20</f>
        <v>2077.2110000000002</v>
      </c>
      <c r="C55">
        <f>'CDD18'!C20-'CDD26'!C20</f>
        <v>1976.0889999999999</v>
      </c>
      <c r="D55">
        <f>'CDD18'!D20-'CDD26'!D20</f>
        <v>1988.268</v>
      </c>
      <c r="E55">
        <f>'CDD18'!E20-'CDD26'!E20</f>
        <v>2017.2829999999999</v>
      </c>
      <c r="F55">
        <f>'CDD18'!F20-'CDD26'!F20</f>
        <v>2144.5540000000001</v>
      </c>
      <c r="G55">
        <f>'CDD18'!G20-'CDD26'!G20</f>
        <v>2099.2180000000003</v>
      </c>
      <c r="H55">
        <f>'CDD18'!H20-'CDD26'!H20</f>
        <v>2168.7339999999999</v>
      </c>
      <c r="I55">
        <f>'CDD18'!I20-'CDD26'!I20</f>
        <v>2178.1930000000002</v>
      </c>
      <c r="J55">
        <f>'CDD18'!J20-'CDD26'!J20</f>
        <v>1988.0339999999997</v>
      </c>
      <c r="K55">
        <f>'CDD18'!K20-'CDD26'!K20</f>
        <v>2008.0160000000001</v>
      </c>
      <c r="L55">
        <f>'CDD18'!L20-'CDD26'!L20</f>
        <v>2088.7930000000001</v>
      </c>
      <c r="M55">
        <f>'CDD18'!M20-'CDD26'!M20</f>
        <v>1952.3120000000001</v>
      </c>
      <c r="N55">
        <f>'CDD18'!N20-'CDD26'!N20</f>
        <v>2089.7020000000002</v>
      </c>
      <c r="O55">
        <f>'CDD18'!O20-'CDD26'!O20</f>
        <v>2041.6769999999997</v>
      </c>
    </row>
    <row r="56" spans="1:15" x14ac:dyDescent="0.35">
      <c r="A56" s="3" t="s">
        <v>56</v>
      </c>
      <c r="B56">
        <f>'CDD18'!B21-'CDD26'!B21</f>
        <v>1724.4970000000001</v>
      </c>
      <c r="C56">
        <f>'CDD18'!C21-'CDD26'!C21</f>
        <v>1791.306</v>
      </c>
      <c r="D56">
        <f>'CDD18'!D21-'CDD26'!D21</f>
        <v>1836.3899999999999</v>
      </c>
      <c r="E56">
        <f>'CDD18'!E21-'CDD26'!E21</f>
        <v>1831.896</v>
      </c>
      <c r="F56">
        <f>'CDD18'!F21-'CDD26'!F21</f>
        <v>1732.837</v>
      </c>
      <c r="G56">
        <f>'CDD18'!G21-'CDD26'!G21</f>
        <v>1862.1559999999999</v>
      </c>
      <c r="H56">
        <f>'CDD18'!H21-'CDD26'!H21</f>
        <v>1689.8910000000001</v>
      </c>
      <c r="I56">
        <f>'CDD18'!I21-'CDD26'!I21</f>
        <v>1645.5910000000001</v>
      </c>
      <c r="J56">
        <f>'CDD18'!J21-'CDD26'!J21</f>
        <v>1757.779</v>
      </c>
      <c r="K56">
        <f>'CDD18'!K21-'CDD26'!K21</f>
        <v>1759.0160000000001</v>
      </c>
      <c r="L56">
        <f>'CDD18'!L21-'CDD26'!L21</f>
        <v>1831.4449999999999</v>
      </c>
      <c r="M56">
        <f>'CDD18'!M21-'CDD26'!M21</f>
        <v>1792.943</v>
      </c>
      <c r="N56">
        <f>'CDD18'!N21-'CDD26'!N21</f>
        <v>1855.5050000000001</v>
      </c>
      <c r="O56">
        <f>'CDD18'!O21-'CDD26'!O21</f>
        <v>1812.0819999999999</v>
      </c>
    </row>
    <row r="57" spans="1:15" x14ac:dyDescent="0.35">
      <c r="A57" s="3" t="s">
        <v>57</v>
      </c>
      <c r="B57">
        <f>'CDD18'!B22-'CDD26'!B22</f>
        <v>1171.9639999999999</v>
      </c>
      <c r="C57">
        <f>'CDD18'!C22-'CDD26'!C22</f>
        <v>1269.8869999999999</v>
      </c>
      <c r="D57">
        <f>'CDD18'!D22-'CDD26'!D22</f>
        <v>1310.3219999999999</v>
      </c>
      <c r="E57">
        <f>'CDD18'!E22-'CDD26'!E22</f>
        <v>1400.8580000000002</v>
      </c>
      <c r="F57">
        <f>'CDD18'!F22-'CDD26'!F22</f>
        <v>1320.2969999999998</v>
      </c>
      <c r="G57">
        <f>'CDD18'!G22-'CDD26'!G22</f>
        <v>1414.18</v>
      </c>
      <c r="H57">
        <f>'CDD18'!H22-'CDD26'!H22</f>
        <v>1299.982</v>
      </c>
      <c r="I57">
        <f>'CDD18'!I22-'CDD26'!I22</f>
        <v>1249.5649999999998</v>
      </c>
      <c r="J57">
        <f>'CDD18'!J22-'CDD26'!J22</f>
        <v>1352.9690000000001</v>
      </c>
      <c r="K57">
        <f>'CDD18'!K22-'CDD26'!K22</f>
        <v>1303.2730000000001</v>
      </c>
      <c r="L57">
        <f>'CDD18'!L22-'CDD26'!L22</f>
        <v>1370.114</v>
      </c>
      <c r="M57">
        <f>'CDD18'!M22-'CDD26'!M22</f>
        <v>1326.0329999999999</v>
      </c>
      <c r="N57">
        <f>'CDD18'!N22-'CDD26'!N22</f>
        <v>1364.0729999999999</v>
      </c>
      <c r="O57">
        <f>'CDD18'!O22-'CDD26'!O22</f>
        <v>1402.557</v>
      </c>
    </row>
    <row r="58" spans="1:15" x14ac:dyDescent="0.35">
      <c r="A58" s="3" t="s">
        <v>58</v>
      </c>
      <c r="B58">
        <f>'CDD18'!B23-'CDD26'!B23</f>
        <v>2254.4179999999997</v>
      </c>
      <c r="C58">
        <f>'CDD18'!C23-'CDD26'!C23</f>
        <v>2261.8599999999997</v>
      </c>
      <c r="D58">
        <f>'CDD18'!D23-'CDD26'!D23</f>
        <v>2224.1290000000004</v>
      </c>
      <c r="E58">
        <f>'CDD18'!E23-'CDD26'!E23</f>
        <v>2160.0729999999999</v>
      </c>
      <c r="F58">
        <f>'CDD18'!F23-'CDD26'!F23</f>
        <v>2350.8670000000002</v>
      </c>
      <c r="G58">
        <f>'CDD18'!G23-'CDD26'!G23</f>
        <v>2297.8909999999996</v>
      </c>
      <c r="H58">
        <f>'CDD18'!H23-'CDD26'!H23</f>
        <v>2287.0859999999998</v>
      </c>
      <c r="I58">
        <f>'CDD18'!I23-'CDD26'!I23</f>
        <v>2242.2080000000001</v>
      </c>
      <c r="J58">
        <f>'CDD18'!J23-'CDD26'!J23</f>
        <v>2232.482</v>
      </c>
      <c r="K58">
        <f>'CDD18'!K23-'CDD26'!K23</f>
        <v>2163.23</v>
      </c>
      <c r="L58">
        <f>'CDD18'!L23-'CDD26'!L23</f>
        <v>2310.3420000000001</v>
      </c>
      <c r="M58">
        <f>'CDD18'!M23-'CDD26'!M23</f>
        <v>2150.8410000000003</v>
      </c>
      <c r="N58">
        <f>'CDD18'!N23-'CDD26'!N23</f>
        <v>2281.5230000000001</v>
      </c>
      <c r="O58">
        <f>'CDD18'!O23-'CDD26'!O23</f>
        <v>2310.3720000000003</v>
      </c>
    </row>
    <row r="59" spans="1:15" x14ac:dyDescent="0.35">
      <c r="A59" s="3" t="s">
        <v>59</v>
      </c>
      <c r="B59">
        <f>'CDD18'!B24-'CDD26'!B24</f>
        <v>1872.049</v>
      </c>
      <c r="C59">
        <f>'CDD18'!C24-'CDD26'!C24</f>
        <v>1796.66</v>
      </c>
      <c r="D59">
        <f>'CDD18'!D24-'CDD26'!D24</f>
        <v>1820.883</v>
      </c>
      <c r="E59">
        <f>'CDD18'!E24-'CDD26'!E24</f>
        <v>1751.6750000000002</v>
      </c>
      <c r="F59">
        <f>'CDD18'!F24-'CDD26'!F24</f>
        <v>1802.6320000000001</v>
      </c>
      <c r="G59">
        <f>'CDD18'!G24-'CDD26'!G24</f>
        <v>1935.9279999999999</v>
      </c>
      <c r="H59">
        <f>'CDD18'!H24-'CDD26'!H24</f>
        <v>1842.7019999999998</v>
      </c>
      <c r="I59">
        <f>'CDD18'!I24-'CDD26'!I24</f>
        <v>1864.057</v>
      </c>
      <c r="J59">
        <f>'CDD18'!J24-'CDD26'!J24</f>
        <v>1744.9470000000001</v>
      </c>
      <c r="K59">
        <f>'CDD18'!K24-'CDD26'!K24</f>
        <v>1720.7470000000001</v>
      </c>
      <c r="L59">
        <f>'CDD18'!L24-'CDD26'!L24</f>
        <v>1854.2619999999997</v>
      </c>
      <c r="M59">
        <f>'CDD18'!M24-'CDD26'!M24</f>
        <v>1849.703</v>
      </c>
      <c r="N59">
        <f>'CDD18'!N24-'CDD26'!N24</f>
        <v>1782.9350000000002</v>
      </c>
      <c r="O59">
        <f>'CDD18'!O24-'CDD26'!O24</f>
        <v>1894.6309999999999</v>
      </c>
    </row>
    <row r="60" spans="1:15" x14ac:dyDescent="0.35">
      <c r="A60" s="3" t="s">
        <v>73</v>
      </c>
      <c r="B60">
        <f>'CDD18'!B25-'CDD26'!B25</f>
        <v>2869.3690000000001</v>
      </c>
      <c r="C60">
        <f>'CDD18'!C25-'CDD26'!C25</f>
        <v>2886.1849999999999</v>
      </c>
      <c r="D60">
        <f>'CDD18'!D25-'CDD26'!D25</f>
        <v>2895.5830000000001</v>
      </c>
      <c r="E60">
        <f>'CDD18'!E25-'CDD26'!E25</f>
        <v>2891.8179999999998</v>
      </c>
      <c r="F60">
        <f>'CDD18'!F25-'CDD26'!F25</f>
        <v>2885.5769999999998</v>
      </c>
      <c r="G60">
        <f>'CDD18'!G25-'CDD26'!G25</f>
        <v>2902.05</v>
      </c>
      <c r="H60">
        <f>'CDD18'!H25-'CDD26'!H25</f>
        <v>2892.7710000000002</v>
      </c>
      <c r="I60">
        <f>'CDD18'!I25-'CDD26'!I25</f>
        <v>2868.4989999999998</v>
      </c>
      <c r="J60">
        <f>'CDD18'!J25-'CDD26'!J25</f>
        <v>2889.4870000000001</v>
      </c>
      <c r="K60">
        <f>'CDD18'!K25-'CDD26'!K25</f>
        <v>2915.6530000000002</v>
      </c>
      <c r="L60">
        <f>'CDD18'!L25-'CDD26'!L25</f>
        <v>2890.9430000000002</v>
      </c>
      <c r="M60">
        <f>'CDD18'!M25-'CDD26'!M25</f>
        <v>2896.7539999999999</v>
      </c>
      <c r="N60">
        <f>'CDD18'!N25-'CDD26'!N25</f>
        <v>2897.4669999999996</v>
      </c>
      <c r="O60">
        <f>'CDD18'!O25-'CDD26'!O25</f>
        <v>2922.71</v>
      </c>
    </row>
    <row r="61" spans="1:15" x14ac:dyDescent="0.35">
      <c r="A61" s="3" t="s">
        <v>60</v>
      </c>
      <c r="B61">
        <f>'CDD18'!B26-'CDD26'!B26</f>
        <v>2070.616</v>
      </c>
      <c r="C61">
        <f>'CDD18'!C26-'CDD26'!C26</f>
        <v>1911.63</v>
      </c>
      <c r="D61">
        <f>'CDD18'!D26-'CDD26'!D26</f>
        <v>1968.0559999999998</v>
      </c>
      <c r="E61">
        <f>'CDD18'!E26-'CDD26'!E26</f>
        <v>2026.5279999999998</v>
      </c>
      <c r="F61">
        <f>'CDD18'!F26-'CDD26'!F26</f>
        <v>2039.6989999999998</v>
      </c>
      <c r="G61">
        <f>'CDD18'!G26-'CDD26'!G26</f>
        <v>2132.0010000000002</v>
      </c>
      <c r="H61">
        <f>'CDD18'!H26-'CDD26'!H26</f>
        <v>2064.7979999999998</v>
      </c>
      <c r="I61">
        <f>'CDD18'!I26-'CDD26'!I26</f>
        <v>2143.3090000000002</v>
      </c>
      <c r="J61">
        <f>'CDD18'!J26-'CDD26'!J26</f>
        <v>1962.7649999999999</v>
      </c>
      <c r="K61">
        <f>'CDD18'!K26-'CDD26'!K26</f>
        <v>1977.7339999999999</v>
      </c>
      <c r="L61">
        <f>'CDD18'!L26-'CDD26'!L26</f>
        <v>2084.61</v>
      </c>
      <c r="M61">
        <f>'CDD18'!M26-'CDD26'!M26</f>
        <v>2038.33</v>
      </c>
      <c r="N61">
        <f>'CDD18'!N26-'CDD26'!N26</f>
        <v>2126.018</v>
      </c>
      <c r="O61">
        <f>'CDD18'!O26-'CDD26'!O26</f>
        <v>2059.1940000000004</v>
      </c>
    </row>
    <row r="62" spans="1:15" x14ac:dyDescent="0.35">
      <c r="A62" s="5" t="s">
        <v>61</v>
      </c>
      <c r="B62">
        <f>'CDD18'!B27-'CDD26'!B27</f>
        <v>0</v>
      </c>
      <c r="C62">
        <f>'CDD18'!C27-'CDD26'!C27</f>
        <v>1.4199999999999979</v>
      </c>
      <c r="D62">
        <f>'CDD18'!D27-'CDD26'!D27</f>
        <v>0.75899999999999679</v>
      </c>
      <c r="E62">
        <f>'CDD18'!E27-'CDD26'!E27</f>
        <v>8.0999999999999517E-2</v>
      </c>
      <c r="F62">
        <f>'CDD18'!F27-'CDD26'!F27</f>
        <v>0</v>
      </c>
      <c r="G62">
        <f>'CDD18'!G27-'CDD26'!G27</f>
        <v>0.16300000000000031</v>
      </c>
      <c r="H62">
        <f>'CDD18'!H27-'CDD26'!H27</f>
        <v>0.56200000000000117</v>
      </c>
      <c r="I62">
        <f>'CDD18'!I27-'CDD26'!I27</f>
        <v>0.50999999999999446</v>
      </c>
      <c r="J62">
        <f>'CDD18'!J27-'CDD26'!J27</f>
        <v>1.335999999999999</v>
      </c>
      <c r="K62">
        <f>'CDD18'!K27-'CDD26'!K27</f>
        <v>0.7289999999999992</v>
      </c>
      <c r="L62">
        <f>'CDD18'!L27-'CDD26'!L27</f>
        <v>4.0000000000013358E-3</v>
      </c>
      <c r="M62">
        <f>'CDD18'!M27-'CDD26'!M27</f>
        <v>1.0750000000000031</v>
      </c>
      <c r="N62">
        <f>'CDD18'!N27-'CDD26'!N27</f>
        <v>1.593</v>
      </c>
      <c r="O62">
        <f>'CDD18'!O27-'CDD26'!O27</f>
        <v>5.8149999999999977</v>
      </c>
    </row>
    <row r="63" spans="1:15" x14ac:dyDescent="0.35">
      <c r="A63" s="3" t="s">
        <v>63</v>
      </c>
      <c r="B63">
        <f>'CDD18'!B28-'CDD26'!B28</f>
        <v>2497.7240000000002</v>
      </c>
      <c r="C63">
        <f>'CDD18'!C28-'CDD26'!C28</f>
        <v>2539.2240000000002</v>
      </c>
      <c r="D63">
        <f>'CDD18'!D28-'CDD26'!D28</f>
        <v>2391.2470000000003</v>
      </c>
      <c r="E63">
        <f>'CDD18'!E28-'CDD26'!E28</f>
        <v>2454.585</v>
      </c>
      <c r="F63">
        <f>'CDD18'!F28-'CDD26'!F28</f>
        <v>2677.9589999999998</v>
      </c>
      <c r="G63">
        <f>'CDD18'!G28-'CDD26'!G28</f>
        <v>2444.2200000000003</v>
      </c>
      <c r="H63">
        <f>'CDD18'!H28-'CDD26'!H28</f>
        <v>2482.6610000000001</v>
      </c>
      <c r="I63">
        <f>'CDD18'!I28-'CDD26'!I28</f>
        <v>2594.3580000000002</v>
      </c>
      <c r="J63">
        <f>'CDD18'!J28-'CDD26'!J28</f>
        <v>2460.9650000000001</v>
      </c>
      <c r="K63">
        <f>'CDD18'!K28-'CDD26'!K28</f>
        <v>2418.6790000000001</v>
      </c>
      <c r="L63">
        <f>'CDD18'!L28-'CDD26'!L28</f>
        <v>2431.873</v>
      </c>
      <c r="M63">
        <f>'CDD18'!M28-'CDD26'!M28</f>
        <v>2352.6189999999997</v>
      </c>
      <c r="N63">
        <f>'CDD18'!N28-'CDD26'!N28</f>
        <v>2535.08</v>
      </c>
      <c r="O63">
        <f>'CDD18'!O28-'CDD26'!O28</f>
        <v>2582.0360000000001</v>
      </c>
    </row>
    <row r="64" spans="1:15" x14ac:dyDescent="0.35">
      <c r="A64" s="3" t="s">
        <v>62</v>
      </c>
      <c r="B64">
        <f>'CDD18'!B29-'CDD26'!B29</f>
        <v>2624.2719999999999</v>
      </c>
      <c r="C64">
        <f>'CDD18'!C29-'CDD26'!C29</f>
        <v>2725.1479999999997</v>
      </c>
      <c r="D64">
        <f>'CDD18'!D29-'CDD26'!D29</f>
        <v>2768.424</v>
      </c>
      <c r="E64">
        <f>'CDD18'!E29-'CDD26'!E29</f>
        <v>2716.567</v>
      </c>
      <c r="F64">
        <f>'CDD18'!F29-'CDD26'!F29</f>
        <v>2718.6030000000001</v>
      </c>
      <c r="G64">
        <f>'CDD18'!G29-'CDD26'!G29</f>
        <v>2774.3589999999999</v>
      </c>
      <c r="H64">
        <f>'CDD18'!H29-'CDD26'!H29</f>
        <v>2727.7219999999998</v>
      </c>
      <c r="I64">
        <f>'CDD18'!I29-'CDD26'!I29</f>
        <v>2739.51</v>
      </c>
      <c r="J64">
        <f>'CDD18'!J29-'CDD26'!J29</f>
        <v>2750.1570000000002</v>
      </c>
      <c r="K64">
        <f>'CDD18'!K29-'CDD26'!K29</f>
        <v>2752.4780000000001</v>
      </c>
      <c r="L64">
        <f>'CDD18'!L29-'CDD26'!L29</f>
        <v>2648.9700000000003</v>
      </c>
      <c r="M64">
        <f>'CDD18'!M29-'CDD26'!M29</f>
        <v>2690.5730000000003</v>
      </c>
      <c r="N64">
        <f>'CDD18'!N29-'CDD26'!N29</f>
        <v>2741.0949999999998</v>
      </c>
      <c r="O64">
        <f>'CDD18'!O29-'CDD26'!O29</f>
        <v>2797.681</v>
      </c>
    </row>
    <row r="65" spans="1:15" x14ac:dyDescent="0.35">
      <c r="A65" s="3" t="s">
        <v>64</v>
      </c>
      <c r="B65">
        <f>'CDD18'!B30-'CDD26'!B30</f>
        <v>2170.076</v>
      </c>
      <c r="C65">
        <f>'CDD18'!C30-'CDD26'!C30</f>
        <v>2133.3159999999998</v>
      </c>
      <c r="D65">
        <f>'CDD18'!D30-'CDD26'!D30</f>
        <v>2200.0620000000004</v>
      </c>
      <c r="E65">
        <f>'CDD18'!E30-'CDD26'!E30</f>
        <v>2162.3109999999997</v>
      </c>
      <c r="F65">
        <f>'CDD18'!F30-'CDD26'!F30</f>
        <v>2229.317</v>
      </c>
      <c r="G65">
        <f>'CDD18'!G30-'CDD26'!G30</f>
        <v>2299.7629999999999</v>
      </c>
      <c r="H65">
        <f>'CDD18'!H30-'CDD26'!H30</f>
        <v>2159.3519999999999</v>
      </c>
      <c r="I65">
        <f>'CDD18'!I30-'CDD26'!I30</f>
        <v>2103.7200000000003</v>
      </c>
      <c r="J65">
        <f>'CDD18'!J30-'CDD26'!J30</f>
        <v>2155.663</v>
      </c>
      <c r="K65">
        <f>'CDD18'!K30-'CDD26'!K30</f>
        <v>2112.2649999999999</v>
      </c>
      <c r="L65">
        <f>'CDD18'!L30-'CDD26'!L30</f>
        <v>2138.9879999999998</v>
      </c>
      <c r="M65">
        <f>'CDD18'!M30-'CDD26'!M30</f>
        <v>2105.3960000000002</v>
      </c>
      <c r="N65">
        <f>'CDD18'!N30-'CDD26'!N30</f>
        <v>2219.674</v>
      </c>
      <c r="O65">
        <f>'CDD18'!O30-'CDD26'!O30</f>
        <v>2119.489</v>
      </c>
    </row>
    <row r="66" spans="1:15" x14ac:dyDescent="0.35">
      <c r="A66" s="3" t="s">
        <v>66</v>
      </c>
      <c r="B66">
        <f>'CDD18'!B31-'CDD26'!B31</f>
        <v>1955.4590000000001</v>
      </c>
      <c r="C66">
        <f>'CDD18'!C31-'CDD26'!C31</f>
        <v>1850.152</v>
      </c>
      <c r="D66">
        <f>'CDD18'!D31-'CDD26'!D31</f>
        <v>1878.7850000000001</v>
      </c>
      <c r="E66">
        <f>'CDD18'!E31-'CDD26'!E31</f>
        <v>1912.3000000000002</v>
      </c>
      <c r="F66">
        <f>'CDD18'!F31-'CDD26'!F31</f>
        <v>2073.4639999999999</v>
      </c>
      <c r="G66">
        <f>'CDD18'!G31-'CDD26'!G31</f>
        <v>2041.1949999999999</v>
      </c>
      <c r="H66">
        <f>'CDD18'!H31-'CDD26'!H31</f>
        <v>2011.117</v>
      </c>
      <c r="I66">
        <f>'CDD18'!I31-'CDD26'!I31</f>
        <v>2043.8040000000001</v>
      </c>
      <c r="J66">
        <f>'CDD18'!J31-'CDD26'!J31</f>
        <v>1912.3579999999997</v>
      </c>
      <c r="K66">
        <f>'CDD18'!K31-'CDD26'!K31</f>
        <v>1940.556</v>
      </c>
      <c r="L66">
        <f>'CDD18'!L31-'CDD26'!L31</f>
        <v>1996.7930000000001</v>
      </c>
      <c r="M66">
        <f>'CDD18'!M31-'CDD26'!M31</f>
        <v>1886.059</v>
      </c>
      <c r="N66">
        <f>'CDD18'!N31-'CDD26'!N31</f>
        <v>2075.5349999999999</v>
      </c>
      <c r="O66">
        <f>'CDD18'!O31-'CDD26'!O31</f>
        <v>1961.0549999999998</v>
      </c>
    </row>
    <row r="67" spans="1:15" x14ac:dyDescent="0.35">
      <c r="A67" s="3" t="s">
        <v>65</v>
      </c>
      <c r="B67">
        <f>'CDD18'!B32-'CDD26'!B32</f>
        <v>1112.915</v>
      </c>
      <c r="C67">
        <f>'CDD18'!C32-'CDD26'!C32</f>
        <v>1203.357</v>
      </c>
      <c r="D67">
        <f>'CDD18'!D32-'CDD26'!D32</f>
        <v>1135.673</v>
      </c>
      <c r="E67">
        <f>'CDD18'!E32-'CDD26'!E32</f>
        <v>1203.2719999999999</v>
      </c>
      <c r="F67">
        <f>'CDD18'!F32-'CDD26'!F32</f>
        <v>1192.605</v>
      </c>
      <c r="G67">
        <f>'CDD18'!G32-'CDD26'!G32</f>
        <v>1346.9279999999999</v>
      </c>
      <c r="H67">
        <f>'CDD18'!H32-'CDD26'!H32</f>
        <v>1344.7349999999999</v>
      </c>
      <c r="I67">
        <f>'CDD18'!I32-'CDD26'!I32</f>
        <v>1223.5</v>
      </c>
      <c r="J67">
        <f>'CDD18'!J32-'CDD26'!J32</f>
        <v>1253.5609999999999</v>
      </c>
      <c r="K67">
        <f>'CDD18'!K32-'CDD26'!K32</f>
        <v>1144.77</v>
      </c>
      <c r="L67">
        <f>'CDD18'!L32-'CDD26'!L32</f>
        <v>1214.1470000000002</v>
      </c>
      <c r="M67">
        <f>'CDD18'!M32-'CDD26'!M32</f>
        <v>1358.463</v>
      </c>
      <c r="N67">
        <f>'CDD18'!N32-'CDD26'!N32</f>
        <v>1086.3689999999999</v>
      </c>
      <c r="O67">
        <f>'CDD18'!O32-'CDD26'!O32</f>
        <v>1325.194</v>
      </c>
    </row>
    <row r="68" spans="1:15" x14ac:dyDescent="0.35">
      <c r="A68" s="3" t="s">
        <v>67</v>
      </c>
      <c r="B68">
        <f>'CDD18'!B33-'CDD26'!B33</f>
        <v>2170.65</v>
      </c>
      <c r="C68">
        <f>'CDD18'!C33-'CDD26'!C33</f>
        <v>2015.19</v>
      </c>
      <c r="D68">
        <f>'CDD18'!D33-'CDD26'!D33</f>
        <v>2082.4410000000003</v>
      </c>
      <c r="E68">
        <f>'CDD18'!E33-'CDD26'!E33</f>
        <v>2029.2730000000001</v>
      </c>
      <c r="F68">
        <f>'CDD18'!F33-'CDD26'!F33</f>
        <v>2258.0619999999999</v>
      </c>
      <c r="G68">
        <f>'CDD18'!G33-'CDD26'!G33</f>
        <v>2235.808</v>
      </c>
      <c r="H68">
        <f>'CDD18'!H33-'CDD26'!H33</f>
        <v>2170.6419999999998</v>
      </c>
      <c r="I68">
        <f>'CDD18'!I33-'CDD26'!I33</f>
        <v>2152.3820000000001</v>
      </c>
      <c r="J68">
        <f>'CDD18'!J33-'CDD26'!J33</f>
        <v>2147.8289999999997</v>
      </c>
      <c r="K68">
        <f>'CDD18'!K33-'CDD26'!K33</f>
        <v>2065.098</v>
      </c>
      <c r="L68">
        <f>'CDD18'!L33-'CDD26'!L33</f>
        <v>2171.5630000000001</v>
      </c>
      <c r="M68">
        <f>'CDD18'!M33-'CDD26'!M33</f>
        <v>2036.5940000000001</v>
      </c>
      <c r="N68">
        <f>'CDD18'!N33-'CDD26'!N33</f>
        <v>2221.145</v>
      </c>
      <c r="O68">
        <f>'CDD18'!O33-'CDD26'!O33</f>
        <v>2135.377</v>
      </c>
    </row>
  </sheetData>
  <conditionalFormatting sqref="B2:O33">
    <cfRule type="cellIs" dxfId="1" priority="2" operator="lessThan">
      <formula>0</formula>
    </cfRule>
  </conditionalFormatting>
  <conditionalFormatting sqref="B37:O68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CDD18</vt:lpstr>
      <vt:lpstr>CDD20</vt:lpstr>
      <vt:lpstr>CDD26</vt:lpstr>
      <vt:lpstr>Note</vt:lpstr>
      <vt:lpstr>vérif</vt:lpstr>
    </vt:vector>
  </TitlesOfParts>
  <Company>IFP Energies Nouvelles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CORBERAND Julie</dc:creator>
  <cp:lastModifiedBy>CORBERAND Julie</cp:lastModifiedBy>
  <dcterms:created xsi:type="dcterms:W3CDTF">2026-03-06T17:56:45Z</dcterms:created>
  <dcterms:modified xsi:type="dcterms:W3CDTF">2026-03-09T16:01:02Z</dcterms:modified>
</cp:coreProperties>
</file>